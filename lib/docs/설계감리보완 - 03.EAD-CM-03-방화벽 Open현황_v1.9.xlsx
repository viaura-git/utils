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sangminlee/Desktop/코넥-EBS/00.인수인계/감리대응/"/>
    </mc:Choice>
  </mc:AlternateContent>
  <xr:revisionPtr revIDLastSave="0" documentId="13_ncr:1_{8B0F40E8-CE06-0243-B1D7-BE37A6A2C850}" xr6:coauthVersionLast="47" xr6:coauthVersionMax="47" xr10:uidLastSave="{00000000-0000-0000-0000-000000000000}"/>
  <bookViews>
    <workbookView xWindow="38420" yWindow="1520" windowWidth="38400" windowHeight="17400" tabRatio="804" activeTab="3" xr2:uid="{00000000-000D-0000-FFFF-FFFF00000000}"/>
  </bookViews>
  <sheets>
    <sheet name="01.자원생성요청서" sheetId="16" r:id="rId1"/>
    <sheet name="02.시스템구성도" sheetId="2" r:id="rId2"/>
    <sheet name="03.Server" sheetId="7" r:id="rId3"/>
    <sheet name="04.ACG" sheetId="18" r:id="rId4"/>
    <sheet name="05.계정" sheetId="12" r:id="rId5"/>
    <sheet name="06.예외 요청서" sheetId="9" r:id="rId6"/>
    <sheet name="07.업무 시스템 권한 추가 삭제 요청서" sheetId="19" r:id="rId7"/>
  </sheets>
  <definedNames>
    <definedName name="_xlnm._FilterDatabase" localSheetId="0" hidden="1">'01.자원생성요청서'!$A$8:$M$37</definedName>
    <definedName name="_xlnm._FilterDatabase" localSheetId="2" hidden="1">'03.Server'!$A$2:$J$2</definedName>
    <definedName name="_xlnm._FilterDatabase" localSheetId="4" hidden="1">'05.계정'!$A$3:$R$3</definedName>
    <definedName name="ㄹㅇㅎ" localSheetId="0">#REF!</definedName>
    <definedName name="ㄹㅇㅎ" localSheetId="3">#REF!</definedName>
    <definedName name="ㄹㅇㅎ" localSheetId="6">#REF!</definedName>
    <definedName name="ㄹㅇㅎ">#REF!</definedName>
    <definedName name="모니터링_Azure" localSheetId="0">#REF!</definedName>
    <definedName name="모니터링_Azure" localSheetId="3">#REF!</definedName>
    <definedName name="모니터링_Azure" localSheetId="6">#REF!</definedName>
    <definedName name="모니터링_Azure">#REF!</definedName>
    <definedName name="목적" localSheetId="0">#REF!</definedName>
    <definedName name="목적" localSheetId="3">#REF!</definedName>
    <definedName name="목적" localSheetId="6">#REF!</definedName>
    <definedName name="목적">#REF!</definedName>
    <definedName name="삭제" localSheetId="0">#REF!</definedName>
    <definedName name="삭제" localSheetId="3">#REF!</definedName>
    <definedName name="삭제" localSheetId="6">#REF!</definedName>
    <definedName name="삭제">#REF!</definedName>
    <definedName name="유형" localSheetId="0">#REF!</definedName>
    <definedName name="유형" localSheetId="3">#REF!</definedName>
    <definedName name="유형" localSheetId="6">#REF!</definedName>
    <definedName name="유형">#REF!</definedName>
    <definedName name="acl" localSheetId="0">#REF!</definedName>
    <definedName name="acl" localSheetId="3">#REF!</definedName>
    <definedName name="acl" localSheetId="6">#REF!</definedName>
    <definedName name="acl">#REF!</definedName>
    <definedName name="auto" localSheetId="0">#REF!</definedName>
    <definedName name="auto" localSheetId="3">#REF!</definedName>
    <definedName name="auto" localSheetId="6">#REF!</definedName>
    <definedName name="auto">#REF!</definedName>
    <definedName name="azure" localSheetId="0">#REF!</definedName>
    <definedName name="azure" localSheetId="3">#REF!</definedName>
    <definedName name="azure" localSheetId="6">#REF!</definedName>
    <definedName name="azure">#REF!</definedName>
    <definedName name="hostname" localSheetId="0">#REF!</definedName>
    <definedName name="hostname" localSheetId="3">#REF!</definedName>
    <definedName name="hostname" localSheetId="6">#REF!</definedName>
    <definedName name="hostname">#REF!</definedName>
    <definedName name="ig" localSheetId="0">#REF!</definedName>
    <definedName name="ig" localSheetId="3">#REF!</definedName>
    <definedName name="ig" localSheetId="6">#REF!</definedName>
    <definedName name="ig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'01.자원생성요청서'!$B$1:$L$37</definedName>
    <definedName name="resolution" localSheetId="0">#REF!</definedName>
    <definedName name="resolution" localSheetId="3">#REF!</definedName>
    <definedName name="resolution" localSheetId="6">#REF!</definedName>
    <definedName name="resolution">#REF!</definedName>
    <definedName name="route" localSheetId="0">#REF!</definedName>
    <definedName name="route" localSheetId="3">#REF!</definedName>
    <definedName name="route" localSheetId="6">#REF!</definedName>
    <definedName name="route">#REF!</definedName>
    <definedName name="sg" localSheetId="0">#REF!</definedName>
    <definedName name="sg" localSheetId="3">#REF!</definedName>
    <definedName name="sg" localSheetId="6">#REF!</definedName>
    <definedName name="sg">#REF!</definedName>
    <definedName name="subnet" localSheetId="0">#REF!</definedName>
    <definedName name="subnet" localSheetId="3">#REF!</definedName>
    <definedName name="subnet" localSheetId="6">#REF!</definedName>
    <definedName name="subnet">#REF!</definedName>
    <definedName name="SUM" localSheetId="0">#REF!</definedName>
    <definedName name="SUM" localSheetId="3">#REF!</definedName>
    <definedName name="SUM" localSheetId="6">#REF!</definedName>
    <definedName name="SUM">#REF!</definedName>
    <definedName name="Tenency" localSheetId="0">#REF!</definedName>
    <definedName name="Tenency" localSheetId="3">#REF!</definedName>
    <definedName name="Tenency" localSheetId="6">#REF!</definedName>
    <definedName name="Tenency">#REF!</definedName>
    <definedName name="Value" localSheetId="0">#REF!</definedName>
    <definedName name="Value" localSheetId="3">#REF!</definedName>
    <definedName name="Value" localSheetId="6">#REF!</definedName>
    <definedName name="Val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7" l="1"/>
  <c r="I3" i="7"/>
  <c r="K36" i="16" l="1"/>
  <c r="K3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</author>
  </authors>
  <commentList>
    <comment ref="P3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OS계정(DB제외)</t>
        </r>
        <r>
          <rPr>
            <sz val="9"/>
            <color indexed="81"/>
            <rFont val="돋움"/>
            <family val="3"/>
            <charset val="129"/>
          </rPr>
          <t xml:space="preserve">
-확인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담당
</t>
        </r>
        <r>
          <rPr>
            <sz val="9"/>
            <color indexed="81"/>
            <rFont val="Tahoma"/>
            <family val="2"/>
          </rPr>
          <t xml:space="preserve">  : </t>
        </r>
        <r>
          <rPr>
            <sz val="9"/>
            <color indexed="81"/>
            <rFont val="돋움"/>
            <family val="3"/>
            <charset val="129"/>
          </rPr>
          <t>주영연</t>
        </r>
      </text>
    </comment>
    <comment ref="Q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DB</t>
        </r>
        <r>
          <rPr>
            <b/>
            <sz val="9"/>
            <color indexed="81"/>
            <rFont val="돋움"/>
            <family val="3"/>
            <charset val="129"/>
          </rPr>
          <t>서버</t>
        </r>
        <r>
          <rPr>
            <b/>
            <sz val="9"/>
            <color indexed="81"/>
            <rFont val="Tahoma"/>
            <family val="2"/>
          </rPr>
          <t>OS</t>
        </r>
        <r>
          <rPr>
            <b/>
            <sz val="9"/>
            <color indexed="81"/>
            <rFont val="돋움"/>
            <family val="3"/>
            <charset val="129"/>
          </rPr>
          <t xml:space="preserve">계정
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담당
</t>
        </r>
        <r>
          <rPr>
            <sz val="9"/>
            <color indexed="81"/>
            <rFont val="Tahoma"/>
            <family val="2"/>
          </rPr>
          <t xml:space="preserve">  : </t>
        </r>
        <r>
          <rPr>
            <sz val="9"/>
            <color indexed="81"/>
            <rFont val="돋움"/>
            <family val="3"/>
            <charset val="129"/>
          </rPr>
          <t>주영연</t>
        </r>
      </text>
    </comment>
    <comment ref="R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NCP</t>
        </r>
        <r>
          <rPr>
            <b/>
            <sz val="9"/>
            <color indexed="81"/>
            <rFont val="돋움"/>
            <family val="3"/>
            <charset val="129"/>
          </rPr>
          <t>콘솔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패밀리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담당
</t>
        </r>
        <r>
          <rPr>
            <sz val="9"/>
            <color indexed="81"/>
            <rFont val="Tahoma"/>
            <family val="2"/>
          </rPr>
          <t xml:space="preserve">  : </t>
        </r>
        <r>
          <rPr>
            <sz val="9"/>
            <color indexed="81"/>
            <rFont val="돋움"/>
            <family val="3"/>
            <charset val="129"/>
          </rPr>
          <t>이성관</t>
        </r>
      </text>
    </comment>
  </commentList>
</comments>
</file>

<file path=xl/sharedStrings.xml><?xml version="1.0" encoding="utf-8"?>
<sst xmlns="http://schemas.openxmlformats.org/spreadsheetml/2006/main" count="1806" uniqueCount="379">
  <si>
    <t>생성일시</t>
    <phoneticPr fontId="8" type="noConversion"/>
  </si>
  <si>
    <t>종료일시</t>
    <phoneticPr fontId="8" type="noConversion"/>
  </si>
  <si>
    <t>자원구분</t>
    <phoneticPr fontId="8" type="noConversion"/>
  </si>
  <si>
    <t>요구수량</t>
    <phoneticPr fontId="8" type="noConversion"/>
  </si>
  <si>
    <t>비고 (기타 요구사항)</t>
    <phoneticPr fontId="8" type="noConversion"/>
  </si>
  <si>
    <t>스펙구분</t>
    <phoneticPr fontId="8" type="noConversion"/>
  </si>
  <si>
    <t>(변경일시)</t>
    <phoneticPr fontId="8" type="noConversion"/>
  </si>
  <si>
    <t>AS-IS</t>
    <phoneticPr fontId="8" type="noConversion"/>
  </si>
  <si>
    <t>TO-BE</t>
    <phoneticPr fontId="8" type="noConversion"/>
  </si>
  <si>
    <t>총 합계</t>
    <phoneticPr fontId="8" type="noConversion"/>
  </si>
  <si>
    <t>WAF</t>
    <phoneticPr fontId="8" type="noConversion"/>
  </si>
  <si>
    <t>OS</t>
  </si>
  <si>
    <t>VPC</t>
  </si>
  <si>
    <t>Subnet Name</t>
  </si>
  <si>
    <t>ZONE</t>
  </si>
  <si>
    <t>Core</t>
  </si>
  <si>
    <t>Memory</t>
  </si>
  <si>
    <t>예외 요청 내용</t>
  </si>
  <si>
    <t>예외 요청 내용</t>
    <phoneticPr fontId="8" type="noConversion"/>
  </si>
  <si>
    <t>시스템</t>
    <phoneticPr fontId="8" type="noConversion"/>
  </si>
  <si>
    <t>유해사이트 차단</t>
    <phoneticPr fontId="8" type="noConversion"/>
  </si>
  <si>
    <t>ex) 카카오톡 예외 요청</t>
    <phoneticPr fontId="8" type="noConversion"/>
  </si>
  <si>
    <t>예외 요청  IP</t>
    <phoneticPr fontId="8" type="noConversion"/>
  </si>
  <si>
    <t>예외 IP 사용자</t>
    <phoneticPr fontId="8" type="noConversion"/>
  </si>
  <si>
    <t>ex)172.20.5X.X</t>
    <phoneticPr fontId="8" type="noConversion"/>
  </si>
  <si>
    <t>ex) 고교/ai 차장 홍길동</t>
    <phoneticPr fontId="8" type="noConversion"/>
  </si>
  <si>
    <t>예외 요청 상세 목적</t>
    <phoneticPr fontId="8" type="noConversion"/>
  </si>
  <si>
    <t>ex) 고객과 업무 협의를 위한 예외 요청</t>
    <phoneticPr fontId="8" type="noConversion"/>
  </si>
  <si>
    <t>구    분</t>
    <phoneticPr fontId="8" type="noConversion"/>
  </si>
  <si>
    <t>내         용</t>
    <phoneticPr fontId="8" type="noConversion"/>
  </si>
  <si>
    <t>비  고</t>
    <phoneticPr fontId="8" type="noConversion"/>
  </si>
  <si>
    <t>예외 요청 IP 및 URL</t>
    <phoneticPr fontId="8" type="noConversion"/>
  </si>
  <si>
    <t>ex) WAF 예외 요청</t>
    <phoneticPr fontId="8" type="noConversion"/>
  </si>
  <si>
    <t>ex)172.20.5X.X    / ebs.co.kr/xxxx/xxxx/xxxx</t>
    <phoneticPr fontId="8" type="noConversion"/>
  </si>
  <si>
    <t>ex) 웹페이지 업데이트를 위한 예외 요청</t>
    <phoneticPr fontId="8" type="noConversion"/>
  </si>
  <si>
    <t>NAC</t>
    <phoneticPr fontId="8" type="noConversion"/>
  </si>
  <si>
    <t>ex) 화면보호기 예외 요청</t>
    <phoneticPr fontId="8" type="noConversion"/>
  </si>
  <si>
    <t>ex) 172.20.3x.XX</t>
    <phoneticPr fontId="8" type="noConversion"/>
  </si>
  <si>
    <t>ex) 공통 플랫폼 모니터링 PC</t>
    <phoneticPr fontId="8" type="noConversion"/>
  </si>
  <si>
    <t>ex) 와텝 모니터링을 위한 예외 요청</t>
    <phoneticPr fontId="8" type="noConversion"/>
  </si>
  <si>
    <t>업무시스템 예외 신청서</t>
    <phoneticPr fontId="8" type="noConversion"/>
  </si>
  <si>
    <t>업무 시스템 권한 추가 및 삭제 요청서</t>
    <phoneticPr fontId="8" type="noConversion"/>
  </si>
  <si>
    <t>Server 신청</t>
    <phoneticPr fontId="8" type="noConversion"/>
  </si>
  <si>
    <t>서버 이름</t>
  </si>
  <si>
    <t>서버 이미지 이름</t>
  </si>
  <si>
    <t>서버 스펙</t>
  </si>
  <si>
    <t>비공인 IP</t>
  </si>
  <si>
    <t>인프라 함께학교 계정 현황</t>
    <phoneticPr fontId="20" type="noConversion"/>
  </si>
  <si>
    <t>조직 구성 정보</t>
    <phoneticPr fontId="20" type="noConversion"/>
  </si>
  <si>
    <t>신청자 정보</t>
    <phoneticPr fontId="20" type="noConversion"/>
  </si>
  <si>
    <t>인프라 측 작성 부분</t>
    <phoneticPr fontId="20" type="noConversion"/>
  </si>
  <si>
    <t>서버</t>
    <phoneticPr fontId="20" type="noConversion"/>
  </si>
  <si>
    <t>NCP 콘솔</t>
    <phoneticPr fontId="20" type="noConversion"/>
  </si>
  <si>
    <t>NO</t>
    <phoneticPr fontId="20" type="noConversion"/>
  </si>
  <si>
    <t>요청 부서</t>
    <phoneticPr fontId="20" type="noConversion"/>
  </si>
  <si>
    <t>요청자</t>
    <phoneticPr fontId="20" type="noConversion"/>
  </si>
  <si>
    <t>승인번호</t>
    <phoneticPr fontId="20" type="noConversion"/>
  </si>
  <si>
    <t>변경 일자</t>
    <phoneticPr fontId="20" type="noConversion"/>
  </si>
  <si>
    <t>소속</t>
    <phoneticPr fontId="20" type="noConversion"/>
  </si>
  <si>
    <t>이름</t>
    <phoneticPr fontId="20" type="noConversion"/>
  </si>
  <si>
    <t>직급</t>
    <phoneticPr fontId="20" type="noConversion"/>
  </si>
  <si>
    <t>PM/PL</t>
    <phoneticPr fontId="20" type="noConversion"/>
  </si>
  <si>
    <t>업무</t>
    <phoneticPr fontId="20" type="noConversion"/>
  </si>
  <si>
    <t>이메일 주소</t>
    <phoneticPr fontId="20" type="noConversion"/>
  </si>
  <si>
    <t>내부망 PC IP</t>
    <phoneticPr fontId="20" type="noConversion"/>
  </si>
  <si>
    <t>내부망 PC MAC</t>
    <phoneticPr fontId="20" type="noConversion"/>
  </si>
  <si>
    <t>외부망 PC IP</t>
    <phoneticPr fontId="20" type="noConversion"/>
  </si>
  <si>
    <t>외부망 PC MAC</t>
    <phoneticPr fontId="20" type="noConversion"/>
  </si>
  <si>
    <t>OS계정(DB제외)</t>
    <phoneticPr fontId="20" type="noConversion"/>
  </si>
  <si>
    <t>DB서버OS계정</t>
    <phoneticPr fontId="20" type="noConversion"/>
  </si>
  <si>
    <t>NCP 콘솔 계정
(패밀리 사이트)</t>
    <phoneticPr fontId="20" type="noConversion"/>
  </si>
  <si>
    <t>운영</t>
    <phoneticPr fontId="8" type="noConversion"/>
  </si>
  <si>
    <t>스테이징</t>
    <phoneticPr fontId="8" type="noConversion"/>
  </si>
  <si>
    <t>요청자원스펙</t>
    <phoneticPr fontId="8" type="noConversion"/>
  </si>
  <si>
    <t>사양 (용량)</t>
    <phoneticPr fontId="8" type="noConversion"/>
  </si>
  <si>
    <t>청구비용
(월간비용)</t>
    <phoneticPr fontId="8" type="noConversion"/>
  </si>
  <si>
    <t>구분</t>
    <phoneticPr fontId="8" type="noConversion"/>
  </si>
  <si>
    <t>소계</t>
    <phoneticPr fontId="8" type="noConversion"/>
  </si>
  <si>
    <t>소비자단가</t>
    <phoneticPr fontId="8" type="noConversion"/>
  </si>
  <si>
    <t>할인단가</t>
    <phoneticPr fontId="8" type="noConversion"/>
  </si>
  <si>
    <t>보안/네트워크</t>
    <phoneticPr fontId="8" type="noConversion"/>
  </si>
  <si>
    <t>ex) 생성/변경/삭제 자원 구분</t>
    <phoneticPr fontId="8" type="noConversion"/>
  </si>
  <si>
    <t>ex) 각 자원의 서비스 구분</t>
    <phoneticPr fontId="8" type="noConversion"/>
  </si>
  <si>
    <t>ex) 각 자원의 사양</t>
    <phoneticPr fontId="8" type="noConversion"/>
  </si>
  <si>
    <t>ex)수량</t>
    <phoneticPr fontId="8" type="noConversion"/>
  </si>
  <si>
    <t>사업종료일시</t>
    <phoneticPr fontId="8" type="noConversion"/>
  </si>
  <si>
    <t xml:space="preserve">                              ITSM 자원/계정 생성 및 변경/삭제 요청서 (세부양식)</t>
    <phoneticPr fontId="8" type="noConversion"/>
  </si>
  <si>
    <t xml:space="preserve">*양식개정 : 2024-04-01      </t>
    <phoneticPr fontId="8" type="noConversion"/>
  </si>
  <si>
    <t>검토</t>
    <phoneticPr fontId="8" type="noConversion"/>
  </si>
  <si>
    <t>미확보</t>
    <phoneticPr fontId="8" type="noConversion"/>
  </si>
  <si>
    <t>미완료</t>
    <phoneticPr fontId="8" type="noConversion"/>
  </si>
  <si>
    <t>항목</t>
    <phoneticPr fontId="8" type="noConversion"/>
  </si>
  <si>
    <t>예산 확보 여부</t>
    <phoneticPr fontId="8" type="noConversion"/>
  </si>
  <si>
    <t xml:space="preserve">확보 </t>
    <phoneticPr fontId="8" type="noConversion"/>
  </si>
  <si>
    <t xml:space="preserve">내용 </t>
    <phoneticPr fontId="8" type="noConversion"/>
  </si>
  <si>
    <t xml:space="preserve">검토완료 </t>
    <phoneticPr fontId="8" type="noConversion"/>
  </si>
  <si>
    <r>
      <rPr>
        <b/>
        <sz val="12"/>
        <rFont val="맑은 고딕"/>
        <family val="3"/>
        <charset val="129"/>
      </rPr>
      <t>※</t>
    </r>
    <r>
      <rPr>
        <b/>
        <sz val="12"/>
        <rFont val="맑은 고딕"/>
        <family val="3"/>
        <charset val="129"/>
        <scheme val="minor"/>
      </rPr>
      <t xml:space="preserve"> ITSM에 본 신청서 접수전 예산 확보 여부 및 보안성 검토 확인하여 체크 바랍니다</t>
    </r>
    <phoneticPr fontId="8" type="noConversion"/>
  </si>
  <si>
    <t>보안성 검토</t>
    <phoneticPr fontId="8" type="noConversion"/>
  </si>
  <si>
    <t>prd-api-itp-was-03</t>
    <phoneticPr fontId="8" type="noConversion"/>
  </si>
  <si>
    <t>prd-api-was-image-20201203</t>
    <phoneticPr fontId="8" type="noConversion"/>
  </si>
  <si>
    <t>[Standard] 4vCPU, 16GB Mem, 50GB Disk [g2]</t>
    <phoneticPr fontId="8" type="noConversion"/>
  </si>
  <si>
    <t>CentOS 7.8</t>
    <phoneticPr fontId="8" type="noConversion"/>
  </si>
  <si>
    <t>prd-vpc</t>
    <phoneticPr fontId="8" type="noConversion"/>
  </si>
  <si>
    <t>prd-api-pri-was-sub</t>
    <phoneticPr fontId="8" type="noConversion"/>
  </si>
  <si>
    <t>KR-1</t>
  </si>
  <si>
    <t>172.23.204.X</t>
    <phoneticPr fontId="8" type="noConversion"/>
  </si>
  <si>
    <t>출발지 IP</t>
    <phoneticPr fontId="20" type="noConversion"/>
  </si>
  <si>
    <t xml:space="preserve"> 출발지 hostname</t>
    <phoneticPr fontId="20" type="noConversion"/>
  </si>
  <si>
    <t>출발지 설명</t>
    <phoneticPr fontId="20" type="noConversion"/>
  </si>
  <si>
    <t xml:space="preserve">목적지 IP </t>
    <phoneticPr fontId="52" type="noConversion"/>
  </si>
  <si>
    <t>목적지 hostname</t>
    <phoneticPr fontId="52" type="noConversion"/>
  </si>
  <si>
    <t>목적지 설명</t>
    <phoneticPr fontId="20" type="noConversion"/>
  </si>
  <si>
    <t>목적지 Port</t>
    <phoneticPr fontId="52" type="noConversion"/>
  </si>
  <si>
    <t>목적지 포트 설명</t>
    <phoneticPr fontId="20" type="noConversion"/>
  </si>
  <si>
    <t>방향</t>
    <phoneticPr fontId="20" type="noConversion"/>
  </si>
  <si>
    <t>inbound</t>
    <phoneticPr fontId="8" type="noConversion"/>
  </si>
  <si>
    <t>※ 양방향 통신의 경우 출발지와 목적지가 상이하므로 각각의 정책을 작성</t>
    <phoneticPr fontId="8" type="noConversion"/>
  </si>
  <si>
    <t xml:space="preserve">※ 신규 서버 및 서비스의 경우 ACG 구성도 작성 필요. 
</t>
    <phoneticPr fontId="8" type="noConversion"/>
  </si>
  <si>
    <t>※ ACG 구성도의 구성도 탭에 추가 하여 작성</t>
    <phoneticPr fontId="8" type="noConversion"/>
  </si>
  <si>
    <r>
      <rPr>
        <b/>
        <sz val="11"/>
        <color rgb="FFFF0000"/>
        <rFont val="맑은 고딕"/>
        <family val="3"/>
        <charset val="129"/>
      </rPr>
      <t>※ 단방향 통신의 경우 출발지와 목적지가 동일하므로 해당하는 신청서 출발지 기준으로 한줄만 작성 (목적지의 ACG 정책에도 IN/OUT 정책 적용)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phoneticPr fontId="8" type="noConversion"/>
  </si>
  <si>
    <t>내       용</t>
    <phoneticPr fontId="8" type="noConversion"/>
  </si>
  <si>
    <t>비    고</t>
    <phoneticPr fontId="8" type="noConversion"/>
  </si>
  <si>
    <t>시스템 명</t>
    <phoneticPr fontId="8" type="noConversion"/>
  </si>
  <si>
    <t>ex)비인가 접근제어, DB 접근제어</t>
    <phoneticPr fontId="8" type="noConversion"/>
  </si>
  <si>
    <t>변경 신청 계정</t>
    <phoneticPr fontId="8" type="noConversion"/>
  </si>
  <si>
    <t>ex)kpXXon</t>
    <phoneticPr fontId="8" type="noConversion"/>
  </si>
  <si>
    <t>변경 신청 사용자명</t>
    <phoneticPr fontId="8" type="noConversion"/>
  </si>
  <si>
    <t>ex)권X팔_패밀리 인프라 운영 (사용자 이름 및 소속)</t>
    <phoneticPr fontId="8" type="noConversion"/>
  </si>
  <si>
    <t>변경 신청 사용자 IP</t>
    <phoneticPr fontId="8" type="noConversion"/>
  </si>
  <si>
    <t>ex)172.20.31.XXX(내부망 사용자 IP)</t>
    <phoneticPr fontId="8" type="noConversion"/>
  </si>
  <si>
    <t>권한 추가 및 삭제 서버</t>
    <phoneticPr fontId="8" type="noConversion"/>
  </si>
  <si>
    <t>서버명</t>
    <phoneticPr fontId="8" type="noConversion"/>
  </si>
  <si>
    <t>IP</t>
    <phoneticPr fontId="8" type="noConversion"/>
  </si>
  <si>
    <t>ex)prd-man-XXX-XXX</t>
    <phoneticPr fontId="8" type="noConversion"/>
  </si>
  <si>
    <t>ex)172.23.XXX.XXX</t>
    <phoneticPr fontId="8" type="noConversion"/>
  </si>
  <si>
    <r>
      <rPr>
        <b/>
        <sz val="12"/>
        <color rgb="FFFF0000"/>
        <rFont val="맑은 고딕"/>
        <family val="3"/>
        <charset val="129"/>
      </rPr>
      <t>※</t>
    </r>
    <r>
      <rPr>
        <b/>
        <sz val="12"/>
        <color rgb="FFFF0000"/>
        <rFont val="맑은 고딕"/>
        <family val="3"/>
        <charset val="129"/>
        <scheme val="minor"/>
      </rPr>
      <t xml:space="preserve"> 본 신청서에 자원요구사항을 적어 보내주세요. 과금비용을 산정해 회신드립니다.</t>
    </r>
    <phoneticPr fontId="8" type="noConversion"/>
  </si>
  <si>
    <t xml:space="preserve">   → 이후 소요비용을 EBS 사업부서 공유/보고 → 의견이 없을 경우 본 신청서를 첨부하여 ITSM으로 자원생성 요청해 주시면 됩니다.</t>
    <phoneticPr fontId="8" type="noConversion"/>
  </si>
  <si>
    <t>【작성시 유의사항 - 필독】</t>
    <phoneticPr fontId="8" type="noConversion"/>
  </si>
  <si>
    <r>
      <t xml:space="preserve">1. 자원 신청이 신규일 경우, </t>
    </r>
    <r>
      <rPr>
        <b/>
        <sz val="12"/>
        <color rgb="FFFF0000"/>
        <rFont val="맑은 고딕"/>
        <family val="3"/>
        <charset val="129"/>
      </rPr>
      <t xml:space="preserve">현재사양(신규사양) </t>
    </r>
    <r>
      <rPr>
        <sz val="12"/>
        <color rgb="FFFF0000"/>
        <rFont val="맑은 고딕"/>
        <family val="3"/>
        <charset val="129"/>
      </rPr>
      <t>란에 해당 스펙을 적어 주시기 바랍니다.</t>
    </r>
    <phoneticPr fontId="8" type="noConversion"/>
  </si>
  <si>
    <t>2. 자원 신청이 변경쪽인 경우 현재 사양과 변경사양을 적어 주시기 바랍니다.</t>
    <phoneticPr fontId="8" type="noConversion"/>
  </si>
  <si>
    <r>
      <t xml:space="preserve">3. 자원구분에 명시되 않은 자원의 경우 </t>
    </r>
    <r>
      <rPr>
        <b/>
        <sz val="12"/>
        <color rgb="FFFF0000"/>
        <rFont val="맑은 고딕"/>
        <family val="3"/>
        <charset val="129"/>
        <scheme val="minor"/>
      </rPr>
      <t>Blank</t>
    </r>
    <r>
      <rPr>
        <sz val="12"/>
        <color rgb="FFFF0000"/>
        <rFont val="맑은 고딕"/>
        <family val="3"/>
        <charset val="129"/>
        <scheme val="minor"/>
      </rPr>
      <t>란에 적어 보내주시거나 별도 연락을 주시기 바랍니다.</t>
    </r>
    <phoneticPr fontId="8" type="noConversion"/>
  </si>
  <si>
    <r>
      <t xml:space="preserve">4. 자원의 세부 구성을 위한 양식은 </t>
    </r>
    <r>
      <rPr>
        <b/>
        <sz val="12"/>
        <color rgb="FFFF0000"/>
        <rFont val="맑은 고딕"/>
        <family val="3"/>
        <charset val="129"/>
        <scheme val="minor"/>
      </rPr>
      <t>비고(기타요구사항)</t>
    </r>
    <r>
      <rPr>
        <sz val="12"/>
        <color rgb="FFFF0000"/>
        <rFont val="맑은 고딕"/>
        <family val="3"/>
        <charset val="129"/>
        <scheme val="minor"/>
      </rPr>
      <t>에 저어 주시기 바랍니다.</t>
    </r>
    <phoneticPr fontId="8" type="noConversion"/>
  </si>
  <si>
    <r>
      <t xml:space="preserve">※ </t>
    </r>
    <r>
      <rPr>
        <b/>
        <i/>
        <u/>
        <sz val="14"/>
        <color rgb="FFFF0000"/>
        <rFont val="맑은 고딕"/>
        <family val="3"/>
        <charset val="129"/>
        <scheme val="minor"/>
      </rPr>
      <t>ITSM 신청양식</t>
    </r>
    <r>
      <rPr>
        <sz val="14"/>
        <color rgb="FFFF0000"/>
        <rFont val="맑은 고딕"/>
        <family val="3"/>
        <charset val="129"/>
        <scheme val="minor"/>
      </rPr>
      <t>이 변경되었습니다. (</t>
    </r>
    <r>
      <rPr>
        <b/>
        <u val="double"/>
        <sz val="14"/>
        <color rgb="FFFF0000"/>
        <rFont val="맑은 고딕"/>
        <family val="3"/>
        <charset val="129"/>
        <scheme val="minor"/>
      </rPr>
      <t>ITSM 공지사항 "[자원생성 및 변경 삭제] 신규 자원 생성 요청 가이드"</t>
    </r>
    <r>
      <rPr>
        <sz val="14"/>
        <color rgb="FFFF0000"/>
        <rFont val="맑은 고딕"/>
        <family val="3"/>
        <charset val="129"/>
        <scheme val="minor"/>
      </rPr>
      <t>) 작성 전 양식을 Copy해 본문에 작성해 주시기 바랍니다.</t>
    </r>
    <phoneticPr fontId="8" type="noConversion"/>
  </si>
  <si>
    <t>※ 입력에 필요한 자원정보는 인프라운영팀 담당자와 사전 협의 바랍니다.</t>
    <phoneticPr fontId="8" type="noConversion"/>
  </si>
  <si>
    <t>※  구성도는 AS-IS To-Be를 명확히 구분 할 수 있어야 하며 시스템 명과 시스템 IP가 표기 되어야 함</t>
    <phoneticPr fontId="8" type="noConversion"/>
  </si>
  <si>
    <t>※ 예외 요청은 유해사이트 차단, WAF, NAC 예외 요청에 해당</t>
    <phoneticPr fontId="8" type="noConversion"/>
  </si>
  <si>
    <t>※ 추가 권한 신청에 대해서는 권한 신청 서버에 대한 계정 신청서도 작성하여 함.</t>
    <phoneticPr fontId="8" type="noConversion"/>
  </si>
  <si>
    <t>172.23.74.41</t>
  </si>
  <si>
    <t>prd-anl-svc01</t>
  </si>
  <si>
    <t>AS-IS AI 서비스 클러스터</t>
    <phoneticPr fontId="8" type="noConversion"/>
  </si>
  <si>
    <t>TCP_19200</t>
    <phoneticPr fontId="8" type="noConversion"/>
  </si>
  <si>
    <t>AS-IS AI 서비스 클러스터 포트</t>
    <phoneticPr fontId="8" type="noConversion"/>
  </si>
  <si>
    <t>prd-anl-svc02</t>
  </si>
  <si>
    <t>prd-anl-svc03</t>
  </si>
  <si>
    <t>prd-anl-svc04</t>
  </si>
  <si>
    <t>prd-anl-svc05</t>
  </si>
  <si>
    <t>172.23.74.42</t>
  </si>
  <si>
    <t>172.23.74.43</t>
  </si>
  <si>
    <t>172.23.74.44</t>
  </si>
  <si>
    <t>172.23.74.45</t>
  </si>
  <si>
    <t>prd-anl-mch01</t>
    <phoneticPr fontId="20" type="noConversion"/>
  </si>
  <si>
    <t>172.23.74.46</t>
    <phoneticPr fontId="20" type="noConversion"/>
  </si>
  <si>
    <t>prd-anl-mch02</t>
  </si>
  <si>
    <t>172.23.74.47</t>
  </si>
  <si>
    <t>prd-anl-mch03</t>
  </si>
  <si>
    <t>172.23.74.48</t>
  </si>
  <si>
    <t>prd-anl-ivt01</t>
    <phoneticPr fontId="20" type="noConversion"/>
  </si>
  <si>
    <t>172.23.74.49</t>
    <phoneticPr fontId="20" type="noConversion"/>
  </si>
  <si>
    <t>prd-anl-ivt02</t>
  </si>
  <si>
    <t>172.23.74.50</t>
  </si>
  <si>
    <t>prd-anl-ivt03</t>
  </si>
  <si>
    <t>172.23.74.51</t>
  </si>
  <si>
    <t>TCP_29200</t>
    <phoneticPr fontId="8" type="noConversion"/>
  </si>
  <si>
    <t>TCP_39200</t>
    <phoneticPr fontId="8" type="noConversion"/>
  </si>
  <si>
    <t>AS-IS AI 이벤트 클러스터 포트</t>
    <phoneticPr fontId="8" type="noConversion"/>
  </si>
  <si>
    <t>AS-IS AI 분석 클러스터 포트</t>
    <phoneticPr fontId="8" type="noConversion"/>
  </si>
  <si>
    <t>AS-IS AI 분석 클러스터</t>
    <phoneticPr fontId="8" type="noConversion"/>
  </si>
  <si>
    <t>AS-IS AI 이벤트 클러스터</t>
    <phoneticPr fontId="8" type="noConversion"/>
  </si>
  <si>
    <t>172.29.2.143</t>
    <phoneticPr fontId="8" type="noConversion"/>
  </si>
  <si>
    <t>172.29.2.134</t>
  </si>
  <si>
    <t>prd-cmp-ai-anly-cluster-001</t>
  </si>
  <si>
    <t>단추 TO-BE AI 분석클러스터 1</t>
  </si>
  <si>
    <t>단추 TO-BE AI 분석클러스터 1</t>
    <phoneticPr fontId="8" type="noConversion"/>
  </si>
  <si>
    <t>TO-BE
AI 인터페이스</t>
    <phoneticPr fontId="8" type="noConversion"/>
  </si>
  <si>
    <t>172.29.2.134</t>
    <phoneticPr fontId="8" type="noConversion"/>
  </si>
  <si>
    <t>172.29.2.135</t>
  </si>
  <si>
    <t>172.29.2.136</t>
  </si>
  <si>
    <t>prd-cmp-ai-anly-cluster-001</t>
    <phoneticPr fontId="8" type="noConversion"/>
  </si>
  <si>
    <t>TO-BE AI 분석 클러스터</t>
    <phoneticPr fontId="8" type="noConversion"/>
  </si>
  <si>
    <t>TCP_59200 -TCP_59300</t>
    <phoneticPr fontId="8" type="noConversion"/>
  </si>
  <si>
    <t>TO-BE AI 분석 클러스터 포트</t>
    <phoneticPr fontId="8" type="noConversion"/>
  </si>
  <si>
    <t>172.23.74.49</t>
  </si>
  <si>
    <t>prd-anl-ivt01</t>
  </si>
  <si>
    <t>TCP_29200 - TCP_29300</t>
    <phoneticPr fontId="8" type="noConversion"/>
  </si>
  <si>
    <t>TCP_39200 - TCP_39300</t>
    <phoneticPr fontId="8" type="noConversion"/>
  </si>
  <si>
    <t>172.23.224.65</t>
  </si>
  <si>
    <t>172.23.224.66</t>
  </si>
  <si>
    <t>172.23.224.7</t>
  </si>
  <si>
    <t>prd-anl-ocr</t>
  </si>
  <si>
    <t>prd-w-ai-ocr</t>
    <phoneticPr fontId="20" type="noConversion"/>
  </si>
  <si>
    <t>AS-IS OCR 포트</t>
    <phoneticPr fontId="8" type="noConversion"/>
  </si>
  <si>
    <t>172.23.1.146</t>
  </si>
  <si>
    <t>172.23.71.24</t>
  </si>
  <si>
    <t>172.23.31.28</t>
  </si>
  <si>
    <t xml:space="preserve">prd-hsc-max-nlb </t>
    <phoneticPr fontId="8" type="noConversion"/>
  </si>
  <si>
    <t xml:space="preserve">prd-anl-max-nlb </t>
    <phoneticPr fontId="8" type="noConversion"/>
  </si>
  <si>
    <t xml:space="preserve">prd-jhs-max-nlb </t>
    <phoneticPr fontId="8" type="noConversion"/>
  </si>
  <si>
    <t>prd-cmp-ai-anly-cluster-002</t>
  </si>
  <si>
    <t>prd-cmp-ai-anly-cluster-003</t>
  </si>
  <si>
    <t>AS-IS OCR 서버</t>
    <phoneticPr fontId="8" type="noConversion"/>
  </si>
  <si>
    <t>AS-IS 고교 DB maxscale LB</t>
    <phoneticPr fontId="8" type="noConversion"/>
  </si>
  <si>
    <t>AS-IS 중학 DB maxscale LB</t>
    <phoneticPr fontId="8" type="noConversion"/>
  </si>
  <si>
    <t>AS-IS 분석 DB maxscale LB</t>
    <phoneticPr fontId="8" type="noConversion"/>
  </si>
  <si>
    <t>AS-IS 분석 DB maxscale LB 포트</t>
    <phoneticPr fontId="8" type="noConversion"/>
  </si>
  <si>
    <t>TO-BE
AI 분석클러스터 1
172.29.2.134</t>
    <phoneticPr fontId="8" type="noConversion"/>
  </si>
  <si>
    <t>TO-BE
AI 분석클러스터 2
172.29.2.135</t>
    <phoneticPr fontId="8" type="noConversion"/>
  </si>
  <si>
    <t>172.29.2.135</t>
    <phoneticPr fontId="8" type="noConversion"/>
  </si>
  <si>
    <t>TO-BE
AI 분석클러스터 3
172.29.2.136</t>
    <phoneticPr fontId="8" type="noConversion"/>
  </si>
  <si>
    <t>prd-cmp-ai-anly-cluster-003</t>
    <phoneticPr fontId="8" type="noConversion"/>
  </si>
  <si>
    <t>TO-BE
AI 분석클러스터 4
172.29.2.137</t>
    <phoneticPr fontId="8" type="noConversion"/>
  </si>
  <si>
    <t>172.29.2.137</t>
  </si>
  <si>
    <t>prd-cmp-ai-anly-cluster-004</t>
  </si>
  <si>
    <t>TO-BE
AI 분석클러스터 5
172.29.2.138</t>
    <phoneticPr fontId="8" type="noConversion"/>
  </si>
  <si>
    <t>172.29.2.138</t>
  </si>
  <si>
    <t>prd-cmp-ai-anly-cluster-004</t>
    <phoneticPr fontId="8" type="noConversion"/>
  </si>
  <si>
    <t>prd-cmp-ai-anly-cluster-005</t>
  </si>
  <si>
    <t>172.29.2.139</t>
  </si>
  <si>
    <t>prd-cmp-ai-anly-cluster-006</t>
  </si>
  <si>
    <t>172.29.2.140</t>
  </si>
  <si>
    <t>prd-cmp-ai-anly-cluster-007</t>
  </si>
  <si>
    <t>172.29.2.141</t>
  </si>
  <si>
    <t>prd-cmp-ai-anly-cluster-007</t>
    <phoneticPr fontId="8" type="noConversion"/>
  </si>
  <si>
    <t>prd-cmp-ai-anly-cluster-008</t>
  </si>
  <si>
    <t>172.23.74.53</t>
    <phoneticPr fontId="20" type="noConversion"/>
  </si>
  <si>
    <t>172.23.74.54</t>
    <phoneticPr fontId="20" type="noConversion"/>
  </si>
  <si>
    <t>prd-anl-chb#1</t>
    <phoneticPr fontId="8" type="noConversion"/>
  </si>
  <si>
    <t>prd-anl-chb#2</t>
    <phoneticPr fontId="8" type="noConversion"/>
  </si>
  <si>
    <t>AS-IS 푸리봇</t>
    <phoneticPr fontId="8" type="noConversion"/>
  </si>
  <si>
    <t>AS-IS 푸리봇 서버 1</t>
    <phoneticPr fontId="8" type="noConversion"/>
  </si>
  <si>
    <t>AS-IS 푸리봇 서버 2</t>
  </si>
  <si>
    <t>172.29.0.134</t>
  </si>
  <si>
    <t>TO-BE AI 인터페이스 서버 1</t>
    <phoneticPr fontId="8" type="noConversion"/>
  </si>
  <si>
    <t>TO-BE AI 인터페이스 서버 2</t>
    <phoneticPr fontId="8" type="noConversion"/>
  </si>
  <si>
    <t>TO-BE AI 인터페이스 서버 LB</t>
    <phoneticPr fontId="8" type="noConversion"/>
  </si>
  <si>
    <t>TO-BE AI 인터페이스 서버 LB 포트</t>
    <phoneticPr fontId="8" type="noConversion"/>
  </si>
  <si>
    <t>TO-BE
APP 중학 쿠버네티스</t>
    <phoneticPr fontId="8" type="noConversion"/>
  </si>
  <si>
    <t>172.29.1.0/25</t>
    <phoneticPr fontId="8" type="noConversion"/>
  </si>
  <si>
    <t>172.29.1.128/25</t>
    <phoneticPr fontId="8" type="noConversion"/>
  </si>
  <si>
    <t>TO-BE
APP 고교 쿠버네티스</t>
    <phoneticPr fontId="8" type="noConversion"/>
  </si>
  <si>
    <t>AS-IS 문항 DB</t>
    <phoneticPr fontId="8" type="noConversion"/>
  </si>
  <si>
    <t>172.23.75.14</t>
  </si>
  <si>
    <t>6101, 6201</t>
    <phoneticPr fontId="8" type="noConversion"/>
  </si>
  <si>
    <t>redis cache 서버</t>
    <phoneticPr fontId="8" type="noConversion"/>
  </si>
  <si>
    <t>prd-anl-redis-01</t>
    <phoneticPr fontId="20" type="noConversion"/>
  </si>
  <si>
    <t>prd-anl-redis-02</t>
    <phoneticPr fontId="20" type="noConversion"/>
  </si>
  <si>
    <t>prd-anl-redis-03</t>
    <phoneticPr fontId="20" type="noConversion"/>
  </si>
  <si>
    <t>172.23.75.15</t>
  </si>
  <si>
    <t>172.23.75.16</t>
  </si>
  <si>
    <t>redis cache 서버 포트</t>
    <phoneticPr fontId="8" type="noConversion"/>
  </si>
  <si>
    <t>AS-IS 문항 DB 포트</t>
    <phoneticPr fontId="8" type="noConversion"/>
  </si>
  <si>
    <t>172.23.201.26</t>
  </si>
  <si>
    <t>ITP I/F 서버</t>
    <phoneticPr fontId="8" type="noConversion"/>
  </si>
  <si>
    <t>ITP I/F 서버 포트</t>
    <phoneticPr fontId="8" type="noConversion"/>
  </si>
  <si>
    <t>stg-anl-db</t>
    <phoneticPr fontId="8" type="noConversion"/>
  </si>
  <si>
    <t>172.22.5.26</t>
    <phoneticPr fontId="8" type="noConversion"/>
  </si>
  <si>
    <t>172.22.5.11</t>
    <phoneticPr fontId="8" type="noConversion"/>
  </si>
  <si>
    <t>172.22.5.18</t>
  </si>
  <si>
    <t>172.22.3.11</t>
    <phoneticPr fontId="20" type="noConversion"/>
  </si>
  <si>
    <t>172.22.5.27</t>
    <phoneticPr fontId="20" type="noConversion"/>
  </si>
  <si>
    <t>stg-anl-redis</t>
    <phoneticPr fontId="20" type="noConversion"/>
  </si>
  <si>
    <t>stg-cmm-db</t>
    <phoneticPr fontId="20" type="noConversion"/>
  </si>
  <si>
    <t>stg-hsc-db</t>
    <phoneticPr fontId="20" type="noConversion"/>
  </si>
  <si>
    <t xml:space="preserve"> prd-cmp-svc-if-alb</t>
    <phoneticPr fontId="8" type="noConversion"/>
  </si>
  <si>
    <t xml:space="preserve"> prd-cmp-svc-if-01</t>
    <phoneticPr fontId="8" type="noConversion"/>
  </si>
  <si>
    <t xml:space="preserve"> prd-cmp-svc-if-02</t>
    <phoneticPr fontId="8" type="noConversion"/>
  </si>
  <si>
    <t>AS-IS 문항 DB maxscale LB</t>
    <phoneticPr fontId="8" type="noConversion"/>
  </si>
  <si>
    <t>prd-cmp-cmm-max-nlb</t>
    <phoneticPr fontId="8" type="noConversion"/>
  </si>
  <si>
    <t>172.23.211.149</t>
    <phoneticPr fontId="8" type="noConversion"/>
  </si>
  <si>
    <t>AS-IS 문항 DB maxscale LB 포트</t>
    <phoneticPr fontId="8" type="noConversion"/>
  </si>
  <si>
    <t>참조</t>
    <phoneticPr fontId="20" type="noConversion"/>
  </si>
  <si>
    <t>172.29.2.142</t>
    <phoneticPr fontId="8" type="noConversion"/>
  </si>
  <si>
    <t>172.23.201.26</t>
    <phoneticPr fontId="8" type="noConversion"/>
  </si>
  <si>
    <t>172.23.213.27, 
172.23.213.28, 
172.23.213.37, 
172.23.213.38</t>
    <phoneticPr fontId="8" type="noConversion"/>
  </si>
  <si>
    <t>prd-cmp-sso-o-web-01~04</t>
    <phoneticPr fontId="8" type="noConversion"/>
  </si>
  <si>
    <t>prod SSO Server LB</t>
    <phoneticPr fontId="8" type="noConversion"/>
  </si>
  <si>
    <t>SSO 서버 https 포트</t>
    <phoneticPr fontId="8" type="noConversion"/>
  </si>
  <si>
    <t>172.22.3.13</t>
    <phoneticPr fontId="8" type="noConversion"/>
  </si>
  <si>
    <t>stg-sso-lb</t>
    <phoneticPr fontId="8" type="noConversion"/>
  </si>
  <si>
    <t>Staging SSO Server LB</t>
    <phoneticPr fontId="8" type="noConversion"/>
  </si>
  <si>
    <t>1.17 추가</t>
    <phoneticPr fontId="8" type="noConversion"/>
  </si>
  <si>
    <t>183.97.197.120</t>
  </si>
  <si>
    <t>개발자 pc</t>
    <phoneticPr fontId="8" type="noConversion"/>
  </si>
  <si>
    <t>stg-sm-waf-lb-01-6704486-fb94db53fd39.kr.lb.naverncp.com</t>
    <phoneticPr fontId="8" type="noConversion"/>
  </si>
  <si>
    <t>Staging SSO Server</t>
    <phoneticPr fontId="8" type="noConversion"/>
  </si>
  <si>
    <t>빛마루 9층 
EBS 단추 고도화 팀 
건물 NAT IP</t>
    <phoneticPr fontId="20" type="noConversion"/>
  </si>
  <si>
    <t>빛마루 9층 
EBS 단추 고도화 팀 PC</t>
    <phoneticPr fontId="8" type="noConversion"/>
  </si>
  <si>
    <t>https://stg-sso.ebs.co.kr</t>
    <phoneticPr fontId="8" type="noConversion"/>
  </si>
  <si>
    <t>https://stg-sso.ebs.co.kr 의 LB SSL port</t>
    <phoneticPr fontId="8" type="noConversion"/>
  </si>
  <si>
    <t>1.20 추가</t>
    <phoneticPr fontId="8" type="noConversion"/>
  </si>
  <si>
    <t>TCP_19200 -&gt; TCP_19300</t>
    <phoneticPr fontId="8" type="noConversion"/>
  </si>
  <si>
    <t>prd-anl-mlif-lb</t>
    <phoneticPr fontId="8" type="noConversion"/>
  </si>
  <si>
    <t>AS-IS I/F LB</t>
    <phoneticPr fontId="8" type="noConversion"/>
  </si>
  <si>
    <t>TCP_19700</t>
    <phoneticPr fontId="8" type="noConversion"/>
  </si>
  <si>
    <t>AS-IS AI I/F LB port</t>
    <phoneticPr fontId="8" type="noConversion"/>
  </si>
  <si>
    <t>TO-BE AI I/F의 AS-IS AI I/F 서비스 연결</t>
    <phoneticPr fontId="8" type="noConversion"/>
  </si>
  <si>
    <t xml:space="preserve"> prd-cmp-svc-if-03</t>
    <phoneticPr fontId="8" type="noConversion"/>
  </si>
  <si>
    <t>TCP_19300</t>
    <phoneticPr fontId="8" type="noConversion"/>
  </si>
  <si>
    <t>STG 
172.29.2.139</t>
    <phoneticPr fontId="8" type="noConversion"/>
  </si>
  <si>
    <t xml:space="preserve">TO-BE STG AI 인터페이스 서버 </t>
    <phoneticPr fontId="8" type="noConversion"/>
  </si>
  <si>
    <t>TO-BE STG AI I/F의 AS-IS PRD AI I/F 
서비스 연결 
2025. 02. 11 신규추가</t>
    <phoneticPr fontId="8" type="noConversion"/>
  </si>
  <si>
    <t>비고</t>
    <phoneticPr fontId="20" type="noConversion"/>
  </si>
  <si>
    <t>TO-BE
STG
APP 중학 쿠버네티스</t>
    <phoneticPr fontId="8" type="noConversion"/>
  </si>
  <si>
    <t>172.23.4.11</t>
  </si>
  <si>
    <t>prd-hsp-hsp-was-01</t>
  </si>
  <si>
    <t>고교강의 운영 WAS</t>
  </si>
  <si>
    <t>172.23.4.12</t>
  </si>
  <si>
    <t>prd-hsp-hsp-was-02</t>
  </si>
  <si>
    <t>172.23.4.35</t>
  </si>
  <si>
    <t>prd-hsp-hsp-was-03</t>
  </si>
  <si>
    <t>172.23.4.36</t>
  </si>
  <si>
    <t>prd-hsp-hsp-was-04</t>
  </si>
  <si>
    <t>172.23.4.37</t>
  </si>
  <si>
    <t>prd-hsp-hsp-was-05</t>
  </si>
  <si>
    <t>172.23.4.38</t>
  </si>
  <si>
    <t>prd-hsp-hsp-was-06</t>
  </si>
  <si>
    <t>172.23.4.39</t>
  </si>
  <si>
    <t>prd-hsp-hsp-was-07</t>
  </si>
  <si>
    <t>172.23.4.40</t>
  </si>
  <si>
    <t>prd-hsp-hsp-was-08</t>
  </si>
  <si>
    <t>172.23.4.41</t>
  </si>
  <si>
    <t>prd-hsp-hsp-was-09</t>
  </si>
  <si>
    <t>172.23.4.42</t>
  </si>
  <si>
    <t>prd-hsp-hsp-was-10</t>
  </si>
  <si>
    <t>172.23.4.43</t>
  </si>
  <si>
    <t>prd-hsp-hsp-was-11</t>
  </si>
  <si>
    <t>172.23.4.44</t>
  </si>
  <si>
    <t>prd-hsp-hsp-was-12</t>
  </si>
  <si>
    <t>172.23.4.61</t>
  </si>
  <si>
    <t>prd-hsp-hsp-was-13</t>
  </si>
  <si>
    <t>172.23.4.62</t>
  </si>
  <si>
    <t>prd-hsp-hsp-was-14</t>
  </si>
  <si>
    <t>prd-cmp-svc-if-lb</t>
    <phoneticPr fontId="8" type="noConversion"/>
  </si>
  <si>
    <t>고교강의 운영</t>
    <phoneticPr fontId="8" type="noConversion"/>
  </si>
  <si>
    <t>TO-BE AI 인터페이스 LB</t>
    <phoneticPr fontId="8" type="noConversion"/>
  </si>
  <si>
    <t>TCP_80</t>
    <phoneticPr fontId="8" type="noConversion"/>
  </si>
  <si>
    <t>TO-BE AI 인터페이스 LB 포트 
49700, 49800 모두 80으로 받음</t>
    <phoneticPr fontId="8" type="noConversion"/>
  </si>
  <si>
    <t>→</t>
  </si>
  <si>
    <t>고교강의 봉호준 부장 요청 
2025.03.21</t>
    <phoneticPr fontId="8" type="noConversion"/>
  </si>
  <si>
    <t>172.29.2.142
172.29.2.143</t>
    <phoneticPr fontId="8" type="noConversion"/>
  </si>
  <si>
    <t>prd-cmp-svc-if-01 
prd-cmp-svc-if-02</t>
    <phoneticPr fontId="8" type="noConversion"/>
  </si>
  <si>
    <t>TCP_49700</t>
    <phoneticPr fontId="8" type="noConversion"/>
  </si>
  <si>
    <t xml:space="preserve">TO-BE AI 인터페이스 서비스 포트 </t>
    <phoneticPr fontId="8" type="noConversion"/>
  </si>
  <si>
    <t>고교강의 봉호준 부장 요청 
LB 문제시 직접호출로 전환키위해 신청
2025.03.21</t>
    <phoneticPr fontId="8" type="noConversion"/>
  </si>
  <si>
    <t>172.22.3.14</t>
  </si>
  <si>
    <t>stg-hsc-was</t>
    <phoneticPr fontId="8" type="noConversion"/>
  </si>
  <si>
    <t>고교강의 운영 WAS</t>
    <phoneticPr fontId="8" type="noConversion"/>
  </si>
  <si>
    <t>고교강의 스테이징 WAS</t>
    <phoneticPr fontId="8" type="noConversion"/>
  </si>
  <si>
    <t>172.29.2.139</t>
    <phoneticPr fontId="8" type="noConversion"/>
  </si>
  <si>
    <t>prd-cmp-svc-if-03</t>
    <phoneticPr fontId="8" type="noConversion"/>
  </si>
  <si>
    <t>TO-BE AI 인터페이스 스테이징 서버</t>
    <phoneticPr fontId="8" type="noConversion"/>
  </si>
  <si>
    <t>TO-BE AI 인터페이스 운영 서버</t>
    <phoneticPr fontId="8" type="noConversion"/>
  </si>
  <si>
    <t>고교강의 STG</t>
    <phoneticPr fontId="8" type="noConversion"/>
  </si>
  <si>
    <t>고교강의 교사지원 센터 운영 WAS</t>
    <phoneticPr fontId="8" type="noConversion"/>
  </si>
  <si>
    <t>172.23.4.25</t>
  </si>
  <si>
    <t>172.23.4.26</t>
  </si>
  <si>
    <t>172.23.4.56</t>
  </si>
  <si>
    <t>172.23.4.57</t>
  </si>
  <si>
    <t>prd-hsc-tch-was-01</t>
  </si>
  <si>
    <t>prd-hsc-tch-was-02</t>
  </si>
  <si>
    <t>prd-hsc-tch-was-03</t>
  </si>
  <si>
    <t>prd-hsc-tch-was-04</t>
  </si>
  <si>
    <t>172.29.0.134</t>
    <phoneticPr fontId="8" type="noConversion"/>
  </si>
  <si>
    <t>고교강의 교사지원 센터</t>
    <phoneticPr fontId="8" type="noConversion"/>
  </si>
  <si>
    <t>고교강의 봉호준 부장 요청 
2025.03.25 
STG은 따로 신청하지 않는다 
02에 테스트용 서버 별도설치 되어있음</t>
    <phoneticPr fontId="8" type="noConversion"/>
  </si>
  <si>
    <t>고교강의 봉호준 부장 요청 
LB 접속불량시 직접호출용
2025.03.25</t>
    <phoneticPr fontId="8" type="noConversion"/>
  </si>
  <si>
    <t>1.13 수정변경 (38680 --&gt; 18180)</t>
    <phoneticPr fontId="8" type="noConversion"/>
  </si>
  <si>
    <t>TO-BE
AI 분석클러스터 6
172.29.2.139
(삭제)</t>
    <phoneticPr fontId="8" type="noConversion"/>
  </si>
  <si>
    <t>TO-BE
AI 분석클러스터 7
172.29.2.140
(삭제)</t>
    <phoneticPr fontId="8" type="noConversion"/>
  </si>
  <si>
    <t>TO-BE
AI 분석클러스터 8
172.29.2.141
(삭제)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</si>
</sst>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7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0" tint="-0.249977111117893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Malgun Gothic"/>
      <family val="3"/>
      <charset val="129"/>
    </font>
    <font>
      <sz val="11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0" tint="-0.34998626667073579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9"/>
      <color theme="0" tint="-0.249977111117893"/>
      <name val="맑은 고딕"/>
      <family val="2"/>
      <scheme val="minor"/>
    </font>
    <font>
      <sz val="9"/>
      <color theme="0" tint="-0.249977111117893"/>
      <name val="맑은 고딕"/>
      <family val="3"/>
      <charset val="129"/>
      <scheme val="minor"/>
    </font>
    <font>
      <sz val="9"/>
      <color theme="0" tint="-0.249977111117893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  <scheme val="minor"/>
    </font>
    <font>
      <b/>
      <i/>
      <u/>
      <sz val="14"/>
      <color rgb="FFFF0000"/>
      <name val="맑은 고딕"/>
      <family val="3"/>
      <charset val="129"/>
      <scheme val="minor"/>
    </font>
    <font>
      <b/>
      <u val="double"/>
      <sz val="14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sz val="9"/>
      <color theme="1"/>
      <name val="맑은 고딕 (본문)"/>
      <family val="3"/>
      <charset val="129"/>
    </font>
    <font>
      <sz val="9"/>
      <color rgb="FF000000"/>
      <name val="맑은 고딕 (본문)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</font>
    <font>
      <u/>
      <sz val="11"/>
      <color theme="10"/>
      <name val="맑은 고딕"/>
      <family val="2"/>
      <scheme val="minor"/>
    </font>
    <font>
      <strike/>
      <sz val="9"/>
      <color theme="1"/>
      <name val="맑은 고딕"/>
      <family val="2"/>
      <charset val="129"/>
      <scheme val="minor"/>
    </font>
    <font>
      <strike/>
      <sz val="9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3"/>
      <color rgb="FF000000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6306C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rgb="FFFFFF0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597381"/>
      </bottom>
      <diagonal/>
    </border>
    <border>
      <left style="thin">
        <color rgb="FFADBEC7"/>
      </left>
      <right style="thin">
        <color rgb="FFADBEC7"/>
      </right>
      <top style="thin">
        <color rgb="FFADBEC7"/>
      </top>
      <bottom style="thin">
        <color rgb="FF597381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rgb="FFFFFF0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40">
    <xf numFmtId="0" fontId="0" fillId="0" borderId="0"/>
    <xf numFmtId="176" fontId="14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14" fillId="0" borderId="0"/>
    <xf numFmtId="0" fontId="14" fillId="0" borderId="0"/>
    <xf numFmtId="0" fontId="18" fillId="0" borderId="0">
      <alignment vertical="center"/>
    </xf>
    <xf numFmtId="0" fontId="7" fillId="0" borderId="0">
      <alignment vertical="center"/>
    </xf>
    <xf numFmtId="0" fontId="19" fillId="0" borderId="0" applyNumberFormat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69" fillId="0" borderId="0" applyNumberFormat="0" applyFill="0" applyBorder="0" applyAlignment="0" applyProtection="0"/>
  </cellStyleXfs>
  <cellXfs count="442">
    <xf numFmtId="0" fontId="0" fillId="0" borderId="0" xfId="0"/>
    <xf numFmtId="0" fontId="10" fillId="0" borderId="6" xfId="0" applyFont="1" applyBorder="1"/>
    <xf numFmtId="0" fontId="9" fillId="0" borderId="6" xfId="0" applyFont="1" applyBorder="1"/>
    <xf numFmtId="0" fontId="10" fillId="0" borderId="6" xfId="0" applyFont="1" applyBorder="1" applyAlignment="1">
      <alignment horizontal="center"/>
    </xf>
    <xf numFmtId="0" fontId="9" fillId="0" borderId="7" xfId="0" applyFont="1" applyBorder="1"/>
    <xf numFmtId="0" fontId="10" fillId="0" borderId="7" xfId="0" applyFont="1" applyBorder="1"/>
    <xf numFmtId="0" fontId="11" fillId="2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0" fontId="22" fillId="0" borderId="1" xfId="0" applyFont="1" applyBorder="1"/>
    <xf numFmtId="0" fontId="21" fillId="0" borderId="1" xfId="0" applyFont="1" applyBorder="1" applyAlignment="1">
      <alignment vertical="center"/>
    </xf>
    <xf numFmtId="0" fontId="23" fillId="0" borderId="1" xfId="0" applyFont="1" applyBorder="1" applyAlignment="1">
      <alignment wrapText="1"/>
    </xf>
    <xf numFmtId="0" fontId="23" fillId="0" borderId="1" xfId="0" applyFont="1" applyBorder="1"/>
    <xf numFmtId="0" fontId="21" fillId="0" borderId="1" xfId="0" applyFont="1" applyBorder="1"/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2" fillId="7" borderId="1" xfId="0" applyFont="1" applyFill="1" applyBorder="1" applyAlignment="1">
      <alignment horizontal="center"/>
    </xf>
    <xf numFmtId="0" fontId="28" fillId="6" borderId="14" xfId="4" applyFont="1" applyFill="1" applyBorder="1" applyAlignment="1">
      <alignment horizontal="center" vertical="center"/>
    </xf>
    <xf numFmtId="0" fontId="28" fillId="6" borderId="15" xfId="4" applyFont="1" applyFill="1" applyBorder="1" applyAlignment="1">
      <alignment horizontal="center" vertical="center"/>
    </xf>
    <xf numFmtId="0" fontId="21" fillId="0" borderId="0" xfId="4" applyFont="1" applyAlignment="1">
      <alignment vertical="center"/>
    </xf>
    <xf numFmtId="0" fontId="28" fillId="6" borderId="16" xfId="4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14" fontId="32" fillId="8" borderId="0" xfId="0" applyNumberFormat="1" applyFont="1" applyFill="1" applyAlignment="1">
      <alignment horizontal="left" vertical="center"/>
    </xf>
    <xf numFmtId="0" fontId="33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left" vertical="center" wrapText="1"/>
    </xf>
    <xf numFmtId="0" fontId="32" fillId="8" borderId="20" xfId="0" applyFont="1" applyFill="1" applyBorder="1" applyAlignment="1">
      <alignment horizontal="left" vertical="center"/>
    </xf>
    <xf numFmtId="0" fontId="31" fillId="9" borderId="21" xfId="0" applyFont="1" applyFill="1" applyBorder="1" applyAlignment="1">
      <alignment horizontal="left" vertical="center"/>
    </xf>
    <xf numFmtId="14" fontId="31" fillId="9" borderId="21" xfId="0" applyNumberFormat="1" applyFont="1" applyFill="1" applyBorder="1" applyAlignment="1">
      <alignment horizontal="left" vertical="center"/>
    </xf>
    <xf numFmtId="0" fontId="31" fillId="9" borderId="2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76" fontId="9" fillId="0" borderId="12" xfId="1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10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39" fillId="0" borderId="1" xfId="1" applyFont="1" applyFill="1" applyBorder="1" applyAlignment="1">
      <alignment horizontal="right" vertical="center"/>
    </xf>
    <xf numFmtId="176" fontId="39" fillId="0" borderId="1" xfId="1" applyFont="1" applyFill="1" applyBorder="1" applyAlignment="1">
      <alignment horizontal="right" vertical="center" wrapText="1"/>
    </xf>
    <xf numFmtId="176" fontId="39" fillId="0" borderId="3" xfId="1" applyFont="1" applyFill="1" applyBorder="1" applyAlignment="1">
      <alignment horizontal="right" vertical="center" wrapText="1"/>
    </xf>
    <xf numFmtId="176" fontId="10" fillId="0" borderId="3" xfId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40" fillId="10" borderId="1" xfId="0" applyFont="1" applyFill="1" applyBorder="1" applyAlignment="1">
      <alignment horizontal="center" vertical="center"/>
    </xf>
    <xf numFmtId="14" fontId="40" fillId="10" borderId="1" xfId="0" applyNumberFormat="1" applyFont="1" applyFill="1" applyBorder="1" applyAlignment="1">
      <alignment horizontal="center" vertical="center"/>
    </xf>
    <xf numFmtId="176" fontId="40" fillId="10" borderId="1" xfId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76" fontId="11" fillId="11" borderId="1" xfId="0" applyNumberFormat="1" applyFont="1" applyFill="1" applyBorder="1" applyAlignment="1">
      <alignment horizontal="right" vertical="center"/>
    </xf>
    <xf numFmtId="176" fontId="10" fillId="0" borderId="6" xfId="1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6" xfId="0" applyFont="1" applyBorder="1" applyAlignment="1">
      <alignment horizontal="center" vertical="center"/>
    </xf>
    <xf numFmtId="38" fontId="10" fillId="0" borderId="1" xfId="0" applyNumberFormat="1" applyFont="1" applyBorder="1" applyAlignment="1">
      <alignment horizontal="center" vertical="center"/>
    </xf>
    <xf numFmtId="38" fontId="10" fillId="0" borderId="3" xfId="0" applyNumberFormat="1" applyFont="1" applyBorder="1" applyAlignment="1">
      <alignment horizontal="center" vertical="center"/>
    </xf>
    <xf numFmtId="38" fontId="10" fillId="0" borderId="1" xfId="0" applyNumberFormat="1" applyFont="1" applyBorder="1" applyAlignment="1">
      <alignment horizontal="center" vertical="center" wrapText="1"/>
    </xf>
    <xf numFmtId="38" fontId="40" fillId="10" borderId="1" xfId="0" applyNumberFormat="1" applyFont="1" applyFill="1" applyBorder="1" applyAlignment="1">
      <alignment horizontal="center" vertical="center"/>
    </xf>
    <xf numFmtId="0" fontId="14" fillId="0" borderId="0" xfId="5" applyAlignment="1">
      <alignment vertical="center"/>
    </xf>
    <xf numFmtId="0" fontId="27" fillId="0" borderId="0" xfId="0" applyFont="1"/>
    <xf numFmtId="176" fontId="10" fillId="0" borderId="3" xfId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4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931" applyFont="1" applyBorder="1" applyAlignment="1">
      <alignment horizontal="right" vertical="center"/>
    </xf>
    <xf numFmtId="0" fontId="42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27" fillId="0" borderId="0" xfId="5" applyFont="1" applyAlignment="1">
      <alignment horizontal="left" vertical="center"/>
    </xf>
    <xf numFmtId="176" fontId="0" fillId="0" borderId="1" xfId="1" applyFont="1" applyBorder="1" applyAlignment="1">
      <alignment horizontal="right" vertical="center"/>
    </xf>
    <xf numFmtId="176" fontId="10" fillId="0" borderId="6" xfId="0" applyNumberFormat="1" applyFont="1" applyBorder="1"/>
    <xf numFmtId="176" fontId="10" fillId="0" borderId="1" xfId="0" applyNumberFormat="1" applyFont="1" applyBorder="1"/>
    <xf numFmtId="176" fontId="0" fillId="0" borderId="1" xfId="931" applyFont="1" applyBorder="1" applyAlignment="1">
      <alignment horizontal="center" vertical="center"/>
    </xf>
    <xf numFmtId="176" fontId="0" fillId="0" borderId="1" xfId="931" quotePrefix="1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176" fontId="43" fillId="0" borderId="1" xfId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38" fontId="43" fillId="0" borderId="1" xfId="0" applyNumberFormat="1" applyFont="1" applyBorder="1" applyAlignment="1">
      <alignment horizontal="center" vertical="center"/>
    </xf>
    <xf numFmtId="176" fontId="44" fillId="0" borderId="1" xfId="1" applyFont="1" applyFill="1" applyBorder="1" applyAlignment="1">
      <alignment horizontal="right" vertical="center" wrapText="1"/>
    </xf>
    <xf numFmtId="176" fontId="43" fillId="0" borderId="1" xfId="0" applyNumberFormat="1" applyFont="1" applyBorder="1"/>
    <xf numFmtId="0" fontId="9" fillId="0" borderId="0" xfId="0" applyFont="1" applyAlignment="1">
      <alignment horizontal="right"/>
    </xf>
    <xf numFmtId="0" fontId="12" fillId="3" borderId="11" xfId="0" applyFont="1" applyFill="1" applyBorder="1" applyAlignment="1">
      <alignment horizontal="center"/>
    </xf>
    <xf numFmtId="0" fontId="9" fillId="0" borderId="27" xfId="0" applyFont="1" applyBorder="1" applyAlignment="1">
      <alignment vertical="center"/>
    </xf>
    <xf numFmtId="0" fontId="48" fillId="5" borderId="1" xfId="4" applyFont="1" applyFill="1" applyBorder="1" applyAlignment="1">
      <alignment vertical="center"/>
    </xf>
    <xf numFmtId="0" fontId="49" fillId="5" borderId="1" xfId="4" applyFont="1" applyFill="1" applyBorder="1" applyAlignment="1">
      <alignment vertical="center"/>
    </xf>
    <xf numFmtId="0" fontId="50" fillId="5" borderId="1" xfId="4" applyFont="1" applyFill="1" applyBorder="1" applyAlignment="1">
      <alignment vertical="center"/>
    </xf>
    <xf numFmtId="0" fontId="27" fillId="0" borderId="0" xfId="5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9" fillId="0" borderId="1" xfId="0" applyFont="1" applyBorder="1"/>
    <xf numFmtId="0" fontId="26" fillId="0" borderId="0" xfId="0" applyFont="1"/>
    <xf numFmtId="0" fontId="46" fillId="0" borderId="9" xfId="0" applyFont="1" applyBorder="1" applyAlignment="1">
      <alignment horizontal="left"/>
    </xf>
    <xf numFmtId="0" fontId="46" fillId="0" borderId="8" xfId="0" applyFont="1" applyBorder="1" applyAlignment="1">
      <alignment horizontal="left"/>
    </xf>
    <xf numFmtId="0" fontId="46" fillId="0" borderId="12" xfId="0" applyFont="1" applyBorder="1" applyAlignment="1">
      <alignment horizontal="left"/>
    </xf>
    <xf numFmtId="0" fontId="46" fillId="0" borderId="10" xfId="0" applyFont="1" applyBorder="1" applyAlignment="1">
      <alignment horizontal="left"/>
    </xf>
    <xf numFmtId="0" fontId="54" fillId="0" borderId="9" xfId="0" applyFont="1" applyBorder="1" applyAlignment="1">
      <alignment horizontal="left"/>
    </xf>
    <xf numFmtId="0" fontId="57" fillId="0" borderId="29" xfId="0" applyFont="1" applyBorder="1" applyAlignment="1">
      <alignment horizontal="left"/>
    </xf>
    <xf numFmtId="0" fontId="57" fillId="0" borderId="6" xfId="0" applyFont="1" applyBorder="1" applyAlignment="1">
      <alignment horizontal="left"/>
    </xf>
    <xf numFmtId="0" fontId="57" fillId="0" borderId="31" xfId="0" applyFont="1" applyBorder="1" applyAlignment="1">
      <alignment horizontal="left"/>
    </xf>
    <xf numFmtId="0" fontId="46" fillId="0" borderId="0" xfId="0" applyFont="1"/>
    <xf numFmtId="0" fontId="60" fillId="0" borderId="1" xfId="5" applyFont="1" applyBorder="1" applyAlignment="1">
      <alignment vertical="center"/>
    </xf>
    <xf numFmtId="0" fontId="60" fillId="0" borderId="1" xfId="5" applyFont="1" applyBorder="1" applyAlignment="1">
      <alignment vertical="center" wrapText="1"/>
    </xf>
    <xf numFmtId="0" fontId="60" fillId="0" borderId="1" xfId="5" applyFont="1" applyBorder="1" applyAlignment="1">
      <alignment horizontal="center" vertical="center"/>
    </xf>
    <xf numFmtId="0" fontId="60" fillId="0" borderId="3" xfId="5" applyFont="1" applyBorder="1" applyAlignment="1">
      <alignment horizontal="center" vertical="center"/>
    </xf>
    <xf numFmtId="0" fontId="60" fillId="0" borderId="4" xfId="5" applyFont="1" applyBorder="1" applyAlignment="1">
      <alignment horizontal="center" vertical="center"/>
    </xf>
    <xf numFmtId="0" fontId="60" fillId="0" borderId="5" xfId="5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60" fillId="0" borderId="3" xfId="5" applyFont="1" applyBorder="1" applyAlignment="1">
      <alignment vertical="center"/>
    </xf>
    <xf numFmtId="0" fontId="14" fillId="0" borderId="0" xfId="5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3" xfId="0" applyFont="1" applyBorder="1" applyAlignment="1">
      <alignment vertical="center"/>
    </xf>
    <xf numFmtId="0" fontId="60" fillId="0" borderId="15" xfId="5" applyFont="1" applyBorder="1" applyAlignment="1">
      <alignment vertical="center" wrapText="1"/>
    </xf>
    <xf numFmtId="0" fontId="60" fillId="0" borderId="15" xfId="5" applyFont="1" applyBorder="1" applyAlignment="1">
      <alignment vertical="center"/>
    </xf>
    <xf numFmtId="0" fontId="60" fillId="0" borderId="16" xfId="5" applyFont="1" applyBorder="1" applyAlignment="1">
      <alignment horizontal="center" vertical="center"/>
    </xf>
    <xf numFmtId="0" fontId="60" fillId="0" borderId="38" xfId="5" applyFont="1" applyBorder="1" applyAlignment="1">
      <alignment horizontal="center" vertical="center"/>
    </xf>
    <xf numFmtId="0" fontId="60" fillId="0" borderId="39" xfId="5" applyFont="1" applyBorder="1" applyAlignment="1">
      <alignment horizontal="center" vertical="center"/>
    </xf>
    <xf numFmtId="0" fontId="60" fillId="0" borderId="43" xfId="5" applyFont="1" applyBorder="1" applyAlignment="1">
      <alignment horizontal="center" vertical="center"/>
    </xf>
    <xf numFmtId="0" fontId="61" fillId="0" borderId="44" xfId="0" applyFont="1" applyBorder="1" applyAlignment="1">
      <alignment vertical="center"/>
    </xf>
    <xf numFmtId="0" fontId="60" fillId="0" borderId="44" xfId="5" applyFont="1" applyBorder="1" applyAlignment="1">
      <alignment vertical="center"/>
    </xf>
    <xf numFmtId="0" fontId="60" fillId="0" borderId="45" xfId="5" applyFont="1" applyBorder="1" applyAlignment="1">
      <alignment horizontal="center" vertical="center"/>
    </xf>
    <xf numFmtId="0" fontId="60" fillId="0" borderId="1" xfId="4" applyFont="1" applyBorder="1" applyAlignment="1">
      <alignment vertical="center"/>
    </xf>
    <xf numFmtId="0" fontId="60" fillId="5" borderId="1" xfId="4" applyFont="1" applyFill="1" applyBorder="1" applyAlignment="1">
      <alignment vertical="center"/>
    </xf>
    <xf numFmtId="0" fontId="60" fillId="0" borderId="44" xfId="4" applyFont="1" applyBorder="1" applyAlignment="1">
      <alignment vertical="center"/>
    </xf>
    <xf numFmtId="0" fontId="60" fillId="5" borderId="1" xfId="4" applyFont="1" applyFill="1" applyBorder="1" applyAlignment="1">
      <alignment horizontal="center" vertical="center"/>
    </xf>
    <xf numFmtId="0" fontId="60" fillId="0" borderId="1" xfId="4" applyFont="1" applyBorder="1" applyAlignment="1">
      <alignment horizontal="center" vertical="center"/>
    </xf>
    <xf numFmtId="0" fontId="14" fillId="0" borderId="0" xfId="5" applyAlignment="1">
      <alignment horizontal="center" vertical="center" wrapText="1"/>
    </xf>
    <xf numFmtId="0" fontId="60" fillId="0" borderId="0" xfId="5" applyFont="1" applyAlignment="1">
      <alignment horizontal="center" vertical="center"/>
    </xf>
    <xf numFmtId="0" fontId="60" fillId="0" borderId="0" xfId="4" applyFont="1" applyAlignment="1">
      <alignment vertical="center"/>
    </xf>
    <xf numFmtId="0" fontId="61" fillId="0" borderId="0" xfId="0" applyFont="1" applyAlignment="1">
      <alignment vertical="center"/>
    </xf>
    <xf numFmtId="0" fontId="60" fillId="0" borderId="0" xfId="5" applyFont="1" applyAlignment="1">
      <alignment vertical="center"/>
    </xf>
    <xf numFmtId="0" fontId="27" fillId="0" borderId="0" xfId="5" applyFont="1" applyAlignment="1">
      <alignment horizontal="center" vertical="center"/>
    </xf>
    <xf numFmtId="0" fontId="60" fillId="0" borderId="3" xfId="4" applyFont="1" applyBorder="1" applyAlignment="1">
      <alignment vertical="center"/>
    </xf>
    <xf numFmtId="0" fontId="60" fillId="0" borderId="15" xfId="5" applyFont="1" applyBorder="1" applyAlignment="1">
      <alignment horizontal="center" vertical="center"/>
    </xf>
    <xf numFmtId="0" fontId="60" fillId="0" borderId="15" xfId="4" applyFont="1" applyBorder="1" applyAlignment="1">
      <alignment horizontal="left" vertical="center"/>
    </xf>
    <xf numFmtId="0" fontId="60" fillId="0" borderId="1" xfId="4" applyFont="1" applyBorder="1" applyAlignment="1">
      <alignment horizontal="left" vertical="center"/>
    </xf>
    <xf numFmtId="0" fontId="60" fillId="5" borderId="1" xfId="4" applyFont="1" applyFill="1" applyBorder="1" applyAlignment="1">
      <alignment horizontal="left" vertical="center"/>
    </xf>
    <xf numFmtId="0" fontId="60" fillId="0" borderId="44" xfId="4" applyFont="1" applyBorder="1" applyAlignment="1">
      <alignment horizontal="left" vertical="center"/>
    </xf>
    <xf numFmtId="0" fontId="60" fillId="5" borderId="15" xfId="4" applyFont="1" applyFill="1" applyBorder="1" applyAlignment="1">
      <alignment horizontal="left" vertical="center"/>
    </xf>
    <xf numFmtId="0" fontId="60" fillId="0" borderId="3" xfId="4" applyFont="1" applyBorder="1" applyAlignment="1">
      <alignment horizontal="left" vertical="center"/>
    </xf>
    <xf numFmtId="0" fontId="60" fillId="0" borderId="0" xfId="4" applyFont="1" applyAlignment="1">
      <alignment horizontal="left" vertical="center"/>
    </xf>
    <xf numFmtId="0" fontId="14" fillId="0" borderId="0" xfId="5" applyAlignment="1">
      <alignment horizontal="left" vertical="center"/>
    </xf>
    <xf numFmtId="0" fontId="62" fillId="0" borderId="1" xfId="4" applyFont="1" applyBorder="1" applyAlignment="1">
      <alignment horizontal="left" vertical="center"/>
    </xf>
    <xf numFmtId="0" fontId="63" fillId="0" borderId="1" xfId="0" applyFont="1" applyBorder="1" applyAlignment="1">
      <alignment vertical="center"/>
    </xf>
    <xf numFmtId="0" fontId="62" fillId="0" borderId="1" xfId="5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2" fillId="0" borderId="1" xfId="0" applyFont="1" applyBorder="1" applyAlignment="1">
      <alignment horizontal="left"/>
    </xf>
    <xf numFmtId="0" fontId="62" fillId="0" borderId="1" xfId="5" applyFont="1" applyBorder="1" applyAlignment="1">
      <alignment horizontal="right" vertical="center"/>
    </xf>
    <xf numFmtId="0" fontId="62" fillId="0" borderId="15" xfId="4" applyFont="1" applyBorder="1" applyAlignment="1">
      <alignment horizontal="left" vertical="center"/>
    </xf>
    <xf numFmtId="0" fontId="63" fillId="0" borderId="15" xfId="0" applyFont="1" applyBorder="1" applyAlignment="1">
      <alignment vertical="center"/>
    </xf>
    <xf numFmtId="0" fontId="62" fillId="0" borderId="15" xfId="5" applyFont="1" applyBorder="1" applyAlignment="1">
      <alignment vertical="center"/>
    </xf>
    <xf numFmtId="0" fontId="62" fillId="0" borderId="16" xfId="5" applyFont="1" applyBorder="1" applyAlignment="1">
      <alignment horizontal="center" vertical="center"/>
    </xf>
    <xf numFmtId="0" fontId="62" fillId="0" borderId="38" xfId="5" applyFont="1" applyBorder="1" applyAlignment="1">
      <alignment horizontal="center" vertical="center"/>
    </xf>
    <xf numFmtId="0" fontId="62" fillId="0" borderId="44" xfId="5" applyFont="1" applyBorder="1" applyAlignment="1">
      <alignment horizontal="right" vertical="center"/>
    </xf>
    <xf numFmtId="0" fontId="65" fillId="0" borderId="44" xfId="0" applyFont="1" applyBorder="1" applyAlignment="1">
      <alignment vertical="center"/>
    </xf>
    <xf numFmtId="0" fontId="64" fillId="0" borderId="45" xfId="5" applyFont="1" applyBorder="1" applyAlignment="1">
      <alignment horizontal="center" vertical="center"/>
    </xf>
    <xf numFmtId="0" fontId="66" fillId="5" borderId="15" xfId="4" applyFont="1" applyFill="1" applyBorder="1" applyAlignment="1">
      <alignment horizontal="center" vertical="center" wrapText="1"/>
    </xf>
    <xf numFmtId="0" fontId="60" fillId="0" borderId="15" xfId="5" applyFont="1" applyBorder="1" applyAlignment="1">
      <alignment horizontal="center" vertical="center" wrapText="1"/>
    </xf>
    <xf numFmtId="0" fontId="60" fillId="5" borderId="3" xfId="4" applyFont="1" applyFill="1" applyBorder="1" applyAlignment="1">
      <alignment horizontal="center" vertical="center"/>
    </xf>
    <xf numFmtId="0" fontId="60" fillId="0" borderId="3" xfId="5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/>
    </xf>
    <xf numFmtId="0" fontId="62" fillId="0" borderId="3" xfId="4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0" fontId="62" fillId="0" borderId="3" xfId="5" applyFont="1" applyBorder="1" applyAlignment="1">
      <alignment horizontal="right" vertical="center"/>
    </xf>
    <xf numFmtId="0" fontId="64" fillId="0" borderId="39" xfId="5" applyFont="1" applyBorder="1" applyAlignment="1">
      <alignment horizontal="center" vertical="center"/>
    </xf>
    <xf numFmtId="0" fontId="64" fillId="15" borderId="15" xfId="4" applyFont="1" applyFill="1" applyBorder="1" applyAlignment="1">
      <alignment horizontal="left" vertical="center"/>
    </xf>
    <xf numFmtId="0" fontId="63" fillId="15" borderId="15" xfId="0" applyFont="1" applyFill="1" applyBorder="1" applyAlignment="1">
      <alignment vertical="center"/>
    </xf>
    <xf numFmtId="0" fontId="62" fillId="15" borderId="15" xfId="5" applyFont="1" applyFill="1" applyBorder="1" applyAlignment="1">
      <alignment vertical="center"/>
    </xf>
    <xf numFmtId="0" fontId="62" fillId="15" borderId="16" xfId="5" applyFont="1" applyFill="1" applyBorder="1" applyAlignment="1">
      <alignment horizontal="center" vertical="center"/>
    </xf>
    <xf numFmtId="0" fontId="64" fillId="15" borderId="1" xfId="4" applyFont="1" applyFill="1" applyBorder="1" applyAlignment="1">
      <alignment horizontal="left" vertical="center"/>
    </xf>
    <xf numFmtId="0" fontId="67" fillId="15" borderId="1" xfId="4" applyFont="1" applyFill="1" applyBorder="1" applyAlignment="1">
      <alignment vertical="center"/>
    </xf>
    <xf numFmtId="0" fontId="63" fillId="15" borderId="1" xfId="0" applyFont="1" applyFill="1" applyBorder="1" applyAlignment="1">
      <alignment vertical="center"/>
    </xf>
    <xf numFmtId="0" fontId="62" fillId="15" borderId="1" xfId="5" applyFont="1" applyFill="1" applyBorder="1" applyAlignment="1">
      <alignment vertical="center"/>
    </xf>
    <xf numFmtId="0" fontId="62" fillId="15" borderId="38" xfId="5" applyFont="1" applyFill="1" applyBorder="1" applyAlignment="1">
      <alignment horizontal="center" vertical="center"/>
    </xf>
    <xf numFmtId="0" fontId="66" fillId="15" borderId="1" xfId="4" applyFont="1" applyFill="1" applyBorder="1" applyAlignment="1">
      <alignment vertical="center"/>
    </xf>
    <xf numFmtId="0" fontId="62" fillId="15" borderId="1" xfId="5" applyFont="1" applyFill="1" applyBorder="1" applyAlignment="1">
      <alignment horizontal="right" vertical="center"/>
    </xf>
    <xf numFmtId="0" fontId="66" fillId="15" borderId="44" xfId="4" applyFont="1" applyFill="1" applyBorder="1" applyAlignment="1">
      <alignment vertical="center"/>
    </xf>
    <xf numFmtId="0" fontId="64" fillId="15" borderId="44" xfId="0" applyFont="1" applyFill="1" applyBorder="1" applyAlignment="1">
      <alignment horizontal="left"/>
    </xf>
    <xf numFmtId="0" fontId="65" fillId="15" borderId="44" xfId="0" applyFont="1" applyFill="1" applyBorder="1" applyAlignment="1">
      <alignment vertical="center"/>
    </xf>
    <xf numFmtId="0" fontId="62" fillId="15" borderId="44" xfId="5" applyFont="1" applyFill="1" applyBorder="1" applyAlignment="1">
      <alignment horizontal="right" vertical="center"/>
    </xf>
    <xf numFmtId="0" fontId="64" fillId="15" borderId="45" xfId="5" applyFont="1" applyFill="1" applyBorder="1" applyAlignment="1">
      <alignment horizontal="center" vertical="center"/>
    </xf>
    <xf numFmtId="0" fontId="64" fillId="0" borderId="1" xfId="4" applyFont="1" applyBorder="1" applyAlignment="1">
      <alignment horizontal="left" vertical="center"/>
    </xf>
    <xf numFmtId="0" fontId="65" fillId="0" borderId="1" xfId="0" applyFont="1" applyBorder="1" applyAlignment="1">
      <alignment vertical="center"/>
    </xf>
    <xf numFmtId="0" fontId="60" fillId="0" borderId="41" xfId="5" applyFont="1" applyBorder="1" applyAlignment="1">
      <alignment horizontal="center" vertical="center"/>
    </xf>
    <xf numFmtId="0" fontId="62" fillId="0" borderId="5" xfId="4" applyFont="1" applyBorder="1" applyAlignment="1">
      <alignment horizontal="left" vertical="center"/>
    </xf>
    <xf numFmtId="0" fontId="63" fillId="0" borderId="5" xfId="0" applyFont="1" applyBorder="1" applyAlignment="1">
      <alignment vertical="center"/>
    </xf>
    <xf numFmtId="0" fontId="62" fillId="0" borderId="5" xfId="5" applyFont="1" applyBorder="1" applyAlignment="1">
      <alignment vertical="center"/>
    </xf>
    <xf numFmtId="0" fontId="62" fillId="0" borderId="41" xfId="5" applyFont="1" applyBorder="1" applyAlignment="1">
      <alignment horizontal="center" vertical="center"/>
    </xf>
    <xf numFmtId="0" fontId="64" fillId="0" borderId="1" xfId="4" applyFont="1" applyBorder="1" applyAlignment="1">
      <alignment vertical="center"/>
    </xf>
    <xf numFmtId="0" fontId="64" fillId="0" borderId="38" xfId="5" applyFont="1" applyBorder="1" applyAlignment="1">
      <alignment horizontal="center" vertical="center"/>
    </xf>
    <xf numFmtId="0" fontId="64" fillId="0" borderId="44" xfId="4" applyFont="1" applyBorder="1" applyAlignment="1">
      <alignment vertical="center" wrapText="1"/>
    </xf>
    <xf numFmtId="0" fontId="68" fillId="0" borderId="44" xfId="0" applyFont="1" applyBorder="1" applyAlignment="1">
      <alignment horizontal="left" vertical="center"/>
    </xf>
    <xf numFmtId="0" fontId="64" fillId="0" borderId="3" xfId="4" applyFont="1" applyBorder="1" applyAlignment="1">
      <alignment vertical="center" wrapText="1"/>
    </xf>
    <xf numFmtId="0" fontId="68" fillId="0" borderId="3" xfId="0" applyFont="1" applyBorder="1" applyAlignment="1">
      <alignment horizontal="left" vertical="center"/>
    </xf>
    <xf numFmtId="0" fontId="64" fillId="15" borderId="1" xfId="0" applyFont="1" applyFill="1" applyBorder="1" applyAlignment="1">
      <alignment horizontal="left"/>
    </xf>
    <xf numFmtId="0" fontId="65" fillId="15" borderId="1" xfId="0" applyFont="1" applyFill="1" applyBorder="1" applyAlignment="1">
      <alignment vertical="center"/>
    </xf>
    <xf numFmtId="0" fontId="64" fillId="15" borderId="38" xfId="5" applyFont="1" applyFill="1" applyBorder="1" applyAlignment="1">
      <alignment horizontal="center" vertical="center"/>
    </xf>
    <xf numFmtId="0" fontId="14" fillId="0" borderId="49" xfId="5" applyBorder="1" applyAlignment="1">
      <alignment horizontal="center" vertical="center" wrapText="1"/>
    </xf>
    <xf numFmtId="0" fontId="68" fillId="0" borderId="50" xfId="4" applyFont="1" applyBorder="1" applyAlignment="1">
      <alignment horizontal="center" vertical="center"/>
    </xf>
    <xf numFmtId="0" fontId="64" fillId="0" borderId="50" xfId="5" applyFont="1" applyBorder="1" applyAlignment="1">
      <alignment horizontal="center" vertical="center"/>
    </xf>
    <xf numFmtId="0" fontId="68" fillId="0" borderId="50" xfId="5" applyFont="1" applyBorder="1" applyAlignment="1">
      <alignment horizontal="center" vertical="center" wrapText="1"/>
    </xf>
    <xf numFmtId="0" fontId="0" fillId="0" borderId="18" xfId="0" applyBorder="1"/>
    <xf numFmtId="0" fontId="65" fillId="0" borderId="50" xfId="0" applyFont="1" applyBorder="1" applyAlignment="1">
      <alignment vertical="center"/>
    </xf>
    <xf numFmtId="0" fontId="64" fillId="0" borderId="51" xfId="5" applyFont="1" applyBorder="1" applyAlignment="1">
      <alignment horizontal="center" vertical="center"/>
    </xf>
    <xf numFmtId="0" fontId="60" fillId="3" borderId="50" xfId="5" applyFont="1" applyFill="1" applyBorder="1" applyAlignment="1">
      <alignment horizontal="right" vertical="center"/>
    </xf>
    <xf numFmtId="0" fontId="66" fillId="0" borderId="0" xfId="0" applyFont="1" applyAlignment="1">
      <alignment vertical="center" wrapText="1"/>
    </xf>
    <xf numFmtId="0" fontId="69" fillId="0" borderId="50" xfId="939" applyBorder="1"/>
    <xf numFmtId="0" fontId="70" fillId="5" borderId="1" xfId="4" applyFont="1" applyFill="1" applyBorder="1" applyAlignment="1">
      <alignment horizontal="left" vertical="center"/>
    </xf>
    <xf numFmtId="0" fontId="70" fillId="5" borderId="1" xfId="4" applyFont="1" applyFill="1" applyBorder="1" applyAlignment="1">
      <alignment vertical="center"/>
    </xf>
    <xf numFmtId="0" fontId="70" fillId="0" borderId="1" xfId="5" applyFont="1" applyBorder="1" applyAlignment="1">
      <alignment vertical="center"/>
    </xf>
    <xf numFmtId="0" fontId="70" fillId="0" borderId="1" xfId="4" applyFont="1" applyBorder="1" applyAlignment="1">
      <alignment horizontal="left" vertical="center"/>
    </xf>
    <xf numFmtId="0" fontId="70" fillId="0" borderId="1" xfId="4" applyFont="1" applyBorder="1" applyAlignment="1">
      <alignment vertical="center"/>
    </xf>
    <xf numFmtId="0" fontId="71" fillId="0" borderId="1" xfId="0" applyFont="1" applyBorder="1" applyAlignment="1">
      <alignment vertical="center"/>
    </xf>
    <xf numFmtId="0" fontId="70" fillId="0" borderId="44" xfId="4" applyFont="1" applyBorder="1" applyAlignment="1">
      <alignment horizontal="left" vertical="center"/>
    </xf>
    <xf numFmtId="0" fontId="60" fillId="0" borderId="5" xfId="5" applyFont="1" applyBorder="1" applyAlignment="1">
      <alignment vertical="center"/>
    </xf>
    <xf numFmtId="0" fontId="60" fillId="0" borderId="5" xfId="5" applyFont="1" applyBorder="1" applyAlignment="1">
      <alignment vertical="center" wrapText="1"/>
    </xf>
    <xf numFmtId="0" fontId="60" fillId="5" borderId="5" xfId="4" applyFont="1" applyFill="1" applyBorder="1" applyAlignment="1">
      <alignment horizontal="left" vertical="center"/>
    </xf>
    <xf numFmtId="0" fontId="60" fillId="0" borderId="44" xfId="5" applyFont="1" applyBorder="1" applyAlignment="1">
      <alignment horizontal="center" vertical="center"/>
    </xf>
    <xf numFmtId="0" fontId="60" fillId="0" borderId="44" xfId="5" applyFont="1" applyBorder="1" applyAlignment="1">
      <alignment vertical="center" wrapText="1"/>
    </xf>
    <xf numFmtId="0" fontId="51" fillId="13" borderId="57" xfId="0" applyFont="1" applyFill="1" applyBorder="1" applyAlignment="1">
      <alignment horizontal="center" vertical="center" wrapText="1"/>
    </xf>
    <xf numFmtId="0" fontId="51" fillId="13" borderId="49" xfId="0" applyFont="1" applyFill="1" applyBorder="1" applyAlignment="1">
      <alignment horizontal="center" vertical="center" wrapText="1"/>
    </xf>
    <xf numFmtId="0" fontId="51" fillId="14" borderId="50" xfId="0" applyFont="1" applyFill="1" applyBorder="1" applyAlignment="1">
      <alignment horizontal="center" vertical="center" wrapText="1"/>
    </xf>
    <xf numFmtId="0" fontId="51" fillId="13" borderId="50" xfId="0" applyFont="1" applyFill="1" applyBorder="1" applyAlignment="1">
      <alignment horizontal="center" vertical="center" wrapText="1"/>
    </xf>
    <xf numFmtId="0" fontId="51" fillId="13" borderId="51" xfId="0" applyFont="1" applyFill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44" xfId="5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46" xfId="0" applyFont="1" applyBorder="1" applyAlignment="1">
      <alignment horizontal="center" vertical="center"/>
    </xf>
    <xf numFmtId="0" fontId="72" fillId="0" borderId="48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14" fillId="16" borderId="59" xfId="5" applyFill="1" applyBorder="1" applyAlignment="1">
      <alignment horizontal="center" vertical="center" wrapText="1"/>
    </xf>
    <xf numFmtId="0" fontId="73" fillId="16" borderId="58" xfId="0" applyFont="1" applyFill="1" applyBorder="1" applyAlignment="1">
      <alignment horizontal="center" vertical="center"/>
    </xf>
    <xf numFmtId="0" fontId="1" fillId="16" borderId="36" xfId="5" applyFont="1" applyFill="1" applyBorder="1" applyAlignment="1">
      <alignment horizontal="center" vertical="center"/>
    </xf>
    <xf numFmtId="0" fontId="60" fillId="16" borderId="36" xfId="5" applyFont="1" applyFill="1" applyBorder="1" applyAlignment="1">
      <alignment horizontal="center" vertical="center"/>
    </xf>
    <xf numFmtId="0" fontId="60" fillId="16" borderId="36" xfId="4" applyFont="1" applyFill="1" applyBorder="1" applyAlignment="1">
      <alignment horizontal="center" vertical="center"/>
    </xf>
    <xf numFmtId="0" fontId="60" fillId="16" borderId="36" xfId="5" applyFont="1" applyFill="1" applyBorder="1" applyAlignment="1">
      <alignment horizontal="center" vertical="center" wrapText="1"/>
    </xf>
    <xf numFmtId="0" fontId="14" fillId="16" borderId="55" xfId="5" applyFill="1" applyBorder="1" applyAlignment="1">
      <alignment horizontal="center" vertical="center" wrapText="1"/>
    </xf>
    <xf numFmtId="0" fontId="73" fillId="0" borderId="14" xfId="0" applyFont="1" applyBorder="1" applyAlignment="1">
      <alignment horizontal="center" vertical="center"/>
    </xf>
    <xf numFmtId="0" fontId="73" fillId="0" borderId="46" xfId="0" applyFont="1" applyBorder="1" applyAlignment="1">
      <alignment horizontal="center" vertical="center"/>
    </xf>
    <xf numFmtId="0" fontId="73" fillId="0" borderId="47" xfId="0" applyFont="1" applyBorder="1" applyAlignment="1">
      <alignment horizontal="center" vertical="center"/>
    </xf>
    <xf numFmtId="0" fontId="60" fillId="16" borderId="15" xfId="5" applyFont="1" applyFill="1" applyBorder="1" applyAlignment="1">
      <alignment horizontal="center" vertical="center"/>
    </xf>
    <xf numFmtId="0" fontId="60" fillId="16" borderId="15" xfId="4" applyFont="1" applyFill="1" applyBorder="1" applyAlignment="1">
      <alignment horizontal="left" vertical="center"/>
    </xf>
    <xf numFmtId="0" fontId="60" fillId="16" borderId="15" xfId="5" applyFont="1" applyFill="1" applyBorder="1" applyAlignment="1">
      <alignment vertical="center" wrapText="1"/>
    </xf>
    <xf numFmtId="0" fontId="60" fillId="16" borderId="15" xfId="5" applyFont="1" applyFill="1" applyBorder="1" applyAlignment="1">
      <alignment vertical="center"/>
    </xf>
    <xf numFmtId="0" fontId="60" fillId="16" borderId="1" xfId="5" applyFont="1" applyFill="1" applyBorder="1" applyAlignment="1">
      <alignment horizontal="center" vertical="center"/>
    </xf>
    <xf numFmtId="0" fontId="60" fillId="16" borderId="1" xfId="4" applyFont="1" applyFill="1" applyBorder="1" applyAlignment="1">
      <alignment horizontal="left" vertical="center"/>
    </xf>
    <xf numFmtId="0" fontId="60" fillId="16" borderId="1" xfId="5" applyFont="1" applyFill="1" applyBorder="1" applyAlignment="1">
      <alignment vertical="center" wrapText="1"/>
    </xf>
    <xf numFmtId="0" fontId="60" fillId="16" borderId="1" xfId="5" applyFont="1" applyFill="1" applyBorder="1" applyAlignment="1">
      <alignment vertical="center"/>
    </xf>
    <xf numFmtId="0" fontId="60" fillId="16" borderId="3" xfId="5" applyFont="1" applyFill="1" applyBorder="1" applyAlignment="1">
      <alignment horizontal="center" vertical="center"/>
    </xf>
    <xf numFmtId="0" fontId="70" fillId="16" borderId="3" xfId="4" applyFont="1" applyFill="1" applyBorder="1" applyAlignment="1">
      <alignment horizontal="left" vertical="center"/>
    </xf>
    <xf numFmtId="0" fontId="60" fillId="16" borderId="3" xfId="5" applyFont="1" applyFill="1" applyBorder="1" applyAlignment="1">
      <alignment vertical="center" wrapText="1"/>
    </xf>
    <xf numFmtId="0" fontId="60" fillId="16" borderId="3" xfId="5" applyFont="1" applyFill="1" applyBorder="1" applyAlignment="1">
      <alignment vertical="center"/>
    </xf>
    <xf numFmtId="0" fontId="59" fillId="0" borderId="32" xfId="0" applyFont="1" applyBorder="1" applyAlignment="1">
      <alignment horizontal="left"/>
    </xf>
    <xf numFmtId="0" fontId="59" fillId="0" borderId="33" xfId="0" applyFont="1" applyBorder="1" applyAlignment="1">
      <alignment horizontal="left"/>
    </xf>
    <xf numFmtId="0" fontId="59" fillId="0" borderId="34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46" fillId="0" borderId="29" xfId="0" applyFont="1" applyBorder="1" applyAlignment="1">
      <alignment horizontal="left"/>
    </xf>
    <xf numFmtId="0" fontId="46" fillId="0" borderId="6" xfId="0" applyFont="1" applyBorder="1" applyAlignment="1">
      <alignment horizontal="left"/>
    </xf>
    <xf numFmtId="0" fontId="46" fillId="0" borderId="30" xfId="0" applyFont="1" applyBorder="1" applyAlignment="1">
      <alignment horizontal="left"/>
    </xf>
    <xf numFmtId="0" fontId="46" fillId="0" borderId="31" xfId="0" applyFont="1" applyBorder="1" applyAlignment="1">
      <alignment horizontal="left"/>
    </xf>
    <xf numFmtId="0" fontId="53" fillId="0" borderId="29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30" xfId="0" applyFont="1" applyBorder="1" applyAlignment="1">
      <alignment horizontal="left"/>
    </xf>
    <xf numFmtId="0" fontId="53" fillId="0" borderId="31" xfId="0" applyFont="1" applyBorder="1" applyAlignment="1">
      <alignment horizontal="left"/>
    </xf>
    <xf numFmtId="0" fontId="47" fillId="0" borderId="29" xfId="0" applyFont="1" applyBorder="1" applyAlignment="1">
      <alignment horizontal="left"/>
    </xf>
    <xf numFmtId="0" fontId="47" fillId="0" borderId="6" xfId="0" applyFont="1" applyBorder="1" applyAlignment="1">
      <alignment horizontal="left"/>
    </xf>
    <xf numFmtId="0" fontId="47" fillId="0" borderId="30" xfId="0" applyFont="1" applyBorder="1" applyAlignment="1">
      <alignment horizontal="left"/>
    </xf>
    <xf numFmtId="0" fontId="47" fillId="0" borderId="31" xfId="0" applyFont="1" applyBorder="1" applyAlignment="1">
      <alignment horizontal="left"/>
    </xf>
    <xf numFmtId="0" fontId="58" fillId="0" borderId="29" xfId="0" applyFont="1" applyBorder="1" applyAlignment="1">
      <alignment horizontal="left"/>
    </xf>
    <xf numFmtId="0" fontId="58" fillId="0" borderId="6" xfId="0" applyFont="1" applyBorder="1" applyAlignment="1">
      <alignment horizontal="left"/>
    </xf>
    <xf numFmtId="0" fontId="58" fillId="0" borderId="30" xfId="0" applyFont="1" applyBorder="1" applyAlignment="1">
      <alignment horizontal="left"/>
    </xf>
    <xf numFmtId="0" fontId="58" fillId="0" borderId="31" xfId="0" applyFont="1" applyBorder="1" applyAlignment="1">
      <alignment horizontal="left"/>
    </xf>
    <xf numFmtId="0" fontId="58" fillId="0" borderId="32" xfId="0" applyFont="1" applyBorder="1" applyAlignment="1">
      <alignment horizontal="left"/>
    </xf>
    <xf numFmtId="0" fontId="58" fillId="0" borderId="33" xfId="0" applyFont="1" applyBorder="1" applyAlignment="1">
      <alignment horizontal="left"/>
    </xf>
    <xf numFmtId="0" fontId="58" fillId="0" borderId="34" xfId="0" applyFont="1" applyBorder="1" applyAlignment="1">
      <alignment horizontal="left"/>
    </xf>
    <xf numFmtId="0" fontId="13" fillId="3" borderId="28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76" fontId="45" fillId="0" borderId="2" xfId="1" applyFont="1" applyBorder="1" applyAlignment="1">
      <alignment horizontal="center" vertical="center"/>
    </xf>
    <xf numFmtId="176" fontId="45" fillId="0" borderId="25" xfId="1" applyFont="1" applyBorder="1" applyAlignment="1">
      <alignment horizontal="center" vertical="center"/>
    </xf>
    <xf numFmtId="176" fontId="45" fillId="0" borderId="13" xfId="1" applyFont="1" applyBorder="1" applyAlignment="1">
      <alignment horizontal="center" vertical="center"/>
    </xf>
    <xf numFmtId="0" fontId="11" fillId="0" borderId="29" xfId="0" applyFont="1" applyBorder="1" applyAlignment="1">
      <alignment horizontal="left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1" fillId="2" borderId="3" xfId="1" applyFont="1" applyFill="1" applyBorder="1" applyAlignment="1">
      <alignment horizontal="center" vertical="center"/>
    </xf>
    <xf numFmtId="176" fontId="11" fillId="2" borderId="5" xfId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9" fillId="3" borderId="17" xfId="4" applyFont="1" applyFill="1" applyBorder="1" applyAlignment="1">
      <alignment horizontal="center" vertical="center"/>
    </xf>
    <xf numFmtId="0" fontId="29" fillId="3" borderId="18" xfId="4" applyFont="1" applyFill="1" applyBorder="1" applyAlignment="1">
      <alignment horizontal="center" vertical="center"/>
    </xf>
    <xf numFmtId="0" fontId="29" fillId="3" borderId="19" xfId="4" applyFont="1" applyFill="1" applyBorder="1" applyAlignment="1">
      <alignment horizontal="center" vertical="center"/>
    </xf>
    <xf numFmtId="0" fontId="14" fillId="0" borderId="52" xfId="5" applyBorder="1" applyAlignment="1">
      <alignment horizontal="center" vertical="center" wrapText="1"/>
    </xf>
    <xf numFmtId="0" fontId="14" fillId="0" borderId="53" xfId="5" applyBorder="1" applyAlignment="1">
      <alignment horizontal="center" vertical="center" wrapText="1"/>
    </xf>
    <xf numFmtId="0" fontId="14" fillId="0" borderId="54" xfId="5" applyBorder="1" applyAlignment="1">
      <alignment horizontal="center" vertical="center" wrapText="1"/>
    </xf>
    <xf numFmtId="0" fontId="72" fillId="0" borderId="15" xfId="5" applyFont="1" applyBorder="1" applyAlignment="1">
      <alignment horizontal="center" vertical="center"/>
    </xf>
    <xf numFmtId="0" fontId="72" fillId="0" borderId="1" xfId="5" applyFont="1" applyBorder="1" applyAlignment="1">
      <alignment horizontal="center" vertical="center"/>
    </xf>
    <xf numFmtId="0" fontId="72" fillId="0" borderId="44" xfId="5" applyFont="1" applyBorder="1" applyAlignment="1">
      <alignment horizontal="center" vertical="center"/>
    </xf>
    <xf numFmtId="0" fontId="72" fillId="0" borderId="15" xfId="4" applyFont="1" applyBorder="1" applyAlignment="1">
      <alignment horizontal="center" vertical="center" wrapText="1"/>
    </xf>
    <xf numFmtId="0" fontId="72" fillId="0" borderId="1" xfId="4" applyFont="1" applyBorder="1" applyAlignment="1">
      <alignment horizontal="center" vertical="center" wrapText="1"/>
    </xf>
    <xf numFmtId="0" fontId="72" fillId="0" borderId="44" xfId="4" applyFont="1" applyBorder="1" applyAlignment="1">
      <alignment horizontal="center" vertical="center" wrapText="1"/>
    </xf>
    <xf numFmtId="0" fontId="72" fillId="0" borderId="15" xfId="5" applyFont="1" applyBorder="1" applyAlignment="1">
      <alignment horizontal="center" vertical="center" wrapText="1"/>
    </xf>
    <xf numFmtId="0" fontId="72" fillId="0" borderId="1" xfId="5" applyFont="1" applyBorder="1" applyAlignment="1">
      <alignment horizontal="center" vertical="center" wrapText="1"/>
    </xf>
    <xf numFmtId="0" fontId="72" fillId="0" borderId="44" xfId="5" applyFont="1" applyBorder="1" applyAlignment="1">
      <alignment horizontal="center" vertical="center" wrapText="1"/>
    </xf>
    <xf numFmtId="0" fontId="60" fillId="0" borderId="15" xfId="5" applyFont="1" applyBorder="1" applyAlignment="1">
      <alignment horizontal="center" vertical="center"/>
    </xf>
    <xf numFmtId="0" fontId="60" fillId="0" borderId="1" xfId="5" applyFont="1" applyBorder="1" applyAlignment="1">
      <alignment horizontal="center" vertical="center"/>
    </xf>
    <xf numFmtId="0" fontId="60" fillId="0" borderId="44" xfId="5" applyFont="1" applyBorder="1" applyAlignment="1">
      <alignment horizontal="center" vertical="center"/>
    </xf>
    <xf numFmtId="0" fontId="14" fillId="0" borderId="16" xfId="5" applyBorder="1" applyAlignment="1">
      <alignment horizontal="center" vertical="center" wrapText="1"/>
    </xf>
    <xf numFmtId="0" fontId="14" fillId="0" borderId="38" xfId="5" applyBorder="1" applyAlignment="1">
      <alignment horizontal="center" vertical="center" wrapText="1"/>
    </xf>
    <xf numFmtId="0" fontId="14" fillId="0" borderId="45" xfId="5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60" fillId="0" borderId="3" xfId="5" applyFont="1" applyBorder="1" applyAlignment="1">
      <alignment horizontal="center" vertical="center"/>
    </xf>
    <xf numFmtId="0" fontId="60" fillId="0" borderId="15" xfId="5" applyFont="1" applyBorder="1" applyAlignment="1">
      <alignment horizontal="center" vertical="center" wrapText="1"/>
    </xf>
    <xf numFmtId="0" fontId="60" fillId="0" borderId="1" xfId="5" applyFont="1" applyBorder="1" applyAlignment="1">
      <alignment horizontal="center" vertical="center" wrapText="1"/>
    </xf>
    <xf numFmtId="0" fontId="60" fillId="0" borderId="3" xfId="5" applyFont="1" applyBorder="1" applyAlignment="1">
      <alignment horizontal="center" vertical="center" wrapText="1"/>
    </xf>
    <xf numFmtId="0" fontId="14" fillId="0" borderId="39" xfId="5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 wrapText="1"/>
    </xf>
    <xf numFmtId="0" fontId="72" fillId="0" borderId="15" xfId="0" applyFont="1" applyBorder="1" applyAlignment="1">
      <alignment horizontal="center" vertical="center" wrapText="1"/>
    </xf>
    <xf numFmtId="0" fontId="72" fillId="0" borderId="36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0" borderId="43" xfId="0" applyFont="1" applyBorder="1" applyAlignment="1">
      <alignment horizontal="center" vertical="center"/>
    </xf>
    <xf numFmtId="0" fontId="14" fillId="16" borderId="55" xfId="5" applyFill="1" applyBorder="1" applyAlignment="1">
      <alignment horizontal="center" vertical="center" wrapText="1"/>
    </xf>
    <xf numFmtId="0" fontId="14" fillId="16" borderId="40" xfId="5" applyFill="1" applyBorder="1" applyAlignment="1">
      <alignment horizontal="center" vertical="center" wrapText="1"/>
    </xf>
    <xf numFmtId="0" fontId="60" fillId="0" borderId="55" xfId="5" applyFont="1" applyBorder="1" applyAlignment="1">
      <alignment horizontal="center" vertical="center"/>
    </xf>
    <xf numFmtId="0" fontId="60" fillId="0" borderId="40" xfId="5" applyFont="1" applyBorder="1" applyAlignment="1">
      <alignment horizontal="center" vertical="center"/>
    </xf>
    <xf numFmtId="0" fontId="60" fillId="0" borderId="56" xfId="5" applyFont="1" applyBorder="1" applyAlignment="1">
      <alignment horizontal="center" vertical="center"/>
    </xf>
    <xf numFmtId="0" fontId="14" fillId="15" borderId="14" xfId="5" applyFill="1" applyBorder="1" applyAlignment="1">
      <alignment horizontal="center" vertical="center" wrapText="1"/>
    </xf>
    <xf numFmtId="0" fontId="14" fillId="15" borderId="46" xfId="5" applyFill="1" applyBorder="1" applyAlignment="1">
      <alignment horizontal="center" vertical="center" wrapText="1"/>
    </xf>
    <xf numFmtId="0" fontId="14" fillId="15" borderId="47" xfId="5" applyFill="1" applyBorder="1" applyAlignment="1">
      <alignment horizontal="center" vertical="center" wrapText="1"/>
    </xf>
    <xf numFmtId="0" fontId="62" fillId="15" borderId="15" xfId="4" applyFont="1" applyFill="1" applyBorder="1" applyAlignment="1">
      <alignment horizontal="center" vertical="center"/>
    </xf>
    <xf numFmtId="0" fontId="62" fillId="15" borderId="1" xfId="4" applyFont="1" applyFill="1" applyBorder="1" applyAlignment="1">
      <alignment horizontal="center" vertical="center"/>
    </xf>
    <xf numFmtId="0" fontId="62" fillId="15" borderId="44" xfId="4" applyFont="1" applyFill="1" applyBorder="1" applyAlignment="1">
      <alignment horizontal="center" vertical="center"/>
    </xf>
    <xf numFmtId="0" fontId="62" fillId="15" borderId="15" xfId="5" applyFont="1" applyFill="1" applyBorder="1" applyAlignment="1">
      <alignment horizontal="center" vertical="center"/>
    </xf>
    <xf numFmtId="0" fontId="62" fillId="15" borderId="1" xfId="5" applyFont="1" applyFill="1" applyBorder="1" applyAlignment="1">
      <alignment horizontal="center" vertical="center"/>
    </xf>
    <xf numFmtId="0" fontId="62" fillId="15" borderId="44" xfId="5" applyFont="1" applyFill="1" applyBorder="1" applyAlignment="1">
      <alignment horizontal="center" vertical="center"/>
    </xf>
    <xf numFmtId="0" fontId="64" fillId="15" borderId="15" xfId="5" applyFont="1" applyFill="1" applyBorder="1" applyAlignment="1">
      <alignment horizontal="center" vertical="center" wrapText="1"/>
    </xf>
    <xf numFmtId="0" fontId="64" fillId="15" borderId="1" xfId="5" applyFont="1" applyFill="1" applyBorder="1" applyAlignment="1">
      <alignment horizontal="center" vertical="center" wrapText="1"/>
    </xf>
    <xf numFmtId="0" fontId="64" fillId="15" borderId="44" xfId="5" applyFont="1" applyFill="1" applyBorder="1" applyAlignment="1">
      <alignment horizontal="center" vertical="center" wrapText="1"/>
    </xf>
    <xf numFmtId="0" fontId="60" fillId="0" borderId="3" xfId="4" applyFont="1" applyBorder="1" applyAlignment="1">
      <alignment horizontal="center" vertical="center"/>
    </xf>
    <xf numFmtId="0" fontId="60" fillId="0" borderId="4" xfId="4" applyFont="1" applyBorder="1" applyAlignment="1">
      <alignment horizontal="center" vertical="center"/>
    </xf>
    <xf numFmtId="0" fontId="60" fillId="0" borderId="5" xfId="4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60" fillId="0" borderId="4" xfId="5" applyFont="1" applyBorder="1" applyAlignment="1">
      <alignment horizontal="center" vertical="center"/>
    </xf>
    <xf numFmtId="0" fontId="60" fillId="0" borderId="5" xfId="5" applyFont="1" applyBorder="1" applyAlignment="1">
      <alignment horizontal="center" vertical="center"/>
    </xf>
    <xf numFmtId="0" fontId="60" fillId="0" borderId="39" xfId="5" applyFont="1" applyBorder="1" applyAlignment="1">
      <alignment horizontal="center" vertical="center"/>
    </xf>
    <xf numFmtId="0" fontId="60" fillId="0" borderId="41" xfId="5" applyFont="1" applyBorder="1" applyAlignment="1">
      <alignment horizontal="center" vertical="center"/>
    </xf>
    <xf numFmtId="0" fontId="64" fillId="15" borderId="15" xfId="4" applyFont="1" applyFill="1" applyBorder="1" applyAlignment="1">
      <alignment horizontal="center" vertical="center"/>
    </xf>
    <xf numFmtId="0" fontId="64" fillId="15" borderId="1" xfId="4" applyFont="1" applyFill="1" applyBorder="1" applyAlignment="1">
      <alignment horizontal="center" vertical="center"/>
    </xf>
    <xf numFmtId="0" fontId="64" fillId="15" borderId="44" xfId="4" applyFont="1" applyFill="1" applyBorder="1" applyAlignment="1">
      <alignment horizontal="center" vertical="center"/>
    </xf>
    <xf numFmtId="0" fontId="14" fillId="0" borderId="37" xfId="5" applyBorder="1" applyAlignment="1">
      <alignment horizontal="center" vertical="center" wrapText="1"/>
    </xf>
    <xf numFmtId="0" fontId="14" fillId="0" borderId="42" xfId="5" applyBorder="1" applyAlignment="1">
      <alignment horizontal="center" vertical="center" wrapText="1"/>
    </xf>
    <xf numFmtId="0" fontId="14" fillId="0" borderId="35" xfId="5" applyBorder="1" applyAlignment="1">
      <alignment horizontal="center" vertical="center" wrapText="1"/>
    </xf>
    <xf numFmtId="0" fontId="60" fillId="0" borderId="36" xfId="5" applyFont="1" applyBorder="1" applyAlignment="1">
      <alignment horizontal="center" vertical="center"/>
    </xf>
    <xf numFmtId="0" fontId="27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/>
    </xf>
    <xf numFmtId="0" fontId="61" fillId="0" borderId="15" xfId="0" applyFont="1" applyBorder="1" applyAlignment="1">
      <alignment horizontal="center" vertical="center"/>
    </xf>
    <xf numFmtId="0" fontId="60" fillId="0" borderId="16" xfId="5" applyFont="1" applyBorder="1" applyAlignment="1">
      <alignment horizontal="center" vertical="center"/>
    </xf>
    <xf numFmtId="0" fontId="14" fillId="0" borderId="14" xfId="5" applyBorder="1" applyAlignment="1">
      <alignment horizontal="center" vertical="center" wrapText="1"/>
    </xf>
    <xf numFmtId="0" fontId="14" fillId="0" borderId="48" xfId="5" applyBorder="1" applyAlignment="1">
      <alignment horizontal="center" vertical="center" wrapText="1"/>
    </xf>
    <xf numFmtId="0" fontId="60" fillId="0" borderId="15" xfId="4" applyFont="1" applyBorder="1" applyAlignment="1">
      <alignment horizontal="center" vertical="center"/>
    </xf>
    <xf numFmtId="0" fontId="64" fillId="0" borderId="36" xfId="4" applyFont="1" applyBorder="1" applyAlignment="1">
      <alignment horizontal="center" vertical="center"/>
    </xf>
    <xf numFmtId="0" fontId="64" fillId="0" borderId="4" xfId="4" applyFont="1" applyBorder="1" applyAlignment="1">
      <alignment horizontal="center" vertical="center"/>
    </xf>
    <xf numFmtId="0" fontId="64" fillId="0" borderId="43" xfId="4" applyFont="1" applyBorder="1" applyAlignment="1">
      <alignment horizontal="center" vertical="center"/>
    </xf>
    <xf numFmtId="0" fontId="62" fillId="0" borderId="36" xfId="5" applyFont="1" applyBorder="1" applyAlignment="1">
      <alignment horizontal="center" vertical="center"/>
    </xf>
    <xf numFmtId="0" fontId="62" fillId="0" borderId="4" xfId="5" applyFont="1" applyBorder="1" applyAlignment="1">
      <alignment horizontal="center" vertical="center"/>
    </xf>
    <xf numFmtId="0" fontId="62" fillId="0" borderId="43" xfId="5" applyFont="1" applyBorder="1" applyAlignment="1">
      <alignment horizontal="center" vertical="center"/>
    </xf>
    <xf numFmtId="0" fontId="62" fillId="0" borderId="36" xfId="5" applyFont="1" applyBorder="1" applyAlignment="1">
      <alignment horizontal="center" vertical="center" wrapText="1"/>
    </xf>
    <xf numFmtId="0" fontId="62" fillId="0" borderId="4" xfId="5" applyFont="1" applyBorder="1" applyAlignment="1">
      <alignment horizontal="center" vertical="center" wrapText="1"/>
    </xf>
    <xf numFmtId="0" fontId="62" fillId="0" borderId="43" xfId="5" applyFont="1" applyBorder="1" applyAlignment="1">
      <alignment horizontal="center" vertical="center" wrapText="1"/>
    </xf>
    <xf numFmtId="0" fontId="64" fillId="0" borderId="36" xfId="5" applyFont="1" applyBorder="1" applyAlignment="1">
      <alignment horizontal="center" vertical="center" wrapText="1"/>
    </xf>
    <xf numFmtId="0" fontId="64" fillId="0" borderId="4" xfId="5" applyFont="1" applyBorder="1" applyAlignment="1">
      <alignment horizontal="center" vertical="center" wrapText="1"/>
    </xf>
    <xf numFmtId="0" fontId="1" fillId="0" borderId="14" xfId="5" applyFont="1" applyBorder="1" applyAlignment="1">
      <alignment horizontal="center" vertical="center"/>
    </xf>
    <xf numFmtId="0" fontId="1" fillId="0" borderId="46" xfId="5" applyFont="1" applyBorder="1" applyAlignment="1">
      <alignment horizontal="center" vertical="center"/>
    </xf>
    <xf numFmtId="0" fontId="1" fillId="0" borderId="47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44" xfId="5" applyFont="1" applyBorder="1" applyAlignment="1">
      <alignment horizontal="center" vertical="center"/>
    </xf>
    <xf numFmtId="0" fontId="1" fillId="16" borderId="14" xfId="5" applyFont="1" applyFill="1" applyBorder="1" applyAlignment="1">
      <alignment horizontal="center" vertical="center" wrapText="1"/>
    </xf>
    <xf numFmtId="0" fontId="1" fillId="16" borderId="46" xfId="5" applyFont="1" applyFill="1" applyBorder="1" applyAlignment="1">
      <alignment horizontal="center" vertical="center"/>
    </xf>
    <xf numFmtId="0" fontId="1" fillId="16" borderId="48" xfId="5" applyFont="1" applyFill="1" applyBorder="1" applyAlignment="1">
      <alignment horizontal="center" vertical="center"/>
    </xf>
    <xf numFmtId="0" fontId="1" fillId="16" borderId="15" xfId="5" applyFont="1" applyFill="1" applyBorder="1" applyAlignment="1">
      <alignment horizontal="center" vertical="center"/>
    </xf>
    <xf numFmtId="0" fontId="1" fillId="16" borderId="1" xfId="5" applyFont="1" applyFill="1" applyBorder="1" applyAlignment="1">
      <alignment horizontal="center" vertical="center"/>
    </xf>
    <xf numFmtId="0" fontId="1" fillId="16" borderId="3" xfId="5" applyFont="1" applyFill="1" applyBorder="1" applyAlignment="1">
      <alignment horizontal="center" vertical="center"/>
    </xf>
    <xf numFmtId="0" fontId="60" fillId="16" borderId="15" xfId="5" applyFont="1" applyFill="1" applyBorder="1" applyAlignment="1">
      <alignment horizontal="center" vertical="center"/>
    </xf>
    <xf numFmtId="0" fontId="60" fillId="16" borderId="1" xfId="5" applyFont="1" applyFill="1" applyBorder="1" applyAlignment="1">
      <alignment horizontal="center" vertical="center"/>
    </xf>
    <xf numFmtId="0" fontId="60" fillId="16" borderId="3" xfId="5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4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14" fillId="17" borderId="35" xfId="5" applyFill="1" applyBorder="1" applyAlignment="1">
      <alignment horizontal="center" vertical="center" wrapText="1"/>
    </xf>
    <xf numFmtId="0" fontId="14" fillId="17" borderId="37" xfId="5" applyFill="1" applyBorder="1" applyAlignment="1">
      <alignment horizontal="center" vertical="center" wrapText="1"/>
    </xf>
    <xf numFmtId="0" fontId="14" fillId="17" borderId="42" xfId="5" applyFill="1" applyBorder="1" applyAlignment="1">
      <alignment horizontal="center" vertical="center" wrapText="1"/>
    </xf>
  </cellXfs>
  <cellStyles count="940">
    <cellStyle name="강조색3 2" xfId="2" xr:uid="{00000000-0005-0000-0000-000000000000}"/>
    <cellStyle name="쉼표 [0]" xfId="1" builtinId="6"/>
    <cellStyle name="쉼표 [0] 10" xfId="447" xr:uid="{00000000-0005-0000-0000-0000EE010000}"/>
    <cellStyle name="쉼표 [0] 11" xfId="885" xr:uid="{00000000-0005-0000-0000-0000A4030000}"/>
    <cellStyle name="쉼표 [0] 12" xfId="931" xr:uid="{00000000-0005-0000-0000-0000D0030000}"/>
    <cellStyle name="쉼표 [0] 2" xfId="9" xr:uid="{00000000-0005-0000-0000-000002000000}"/>
    <cellStyle name="쉼표 [0] 2 10" xfId="892" xr:uid="{00000000-0005-0000-0000-000002000000}"/>
    <cellStyle name="쉼표 [0] 2 11" xfId="934" xr:uid="{00000000-0005-0000-0000-000002000000}"/>
    <cellStyle name="쉼표 [0] 2 2" xfId="31" xr:uid="{00000000-0005-0000-0000-000003000000}"/>
    <cellStyle name="쉼표 [0] 2 2 2" xfId="55" xr:uid="{00000000-0005-0000-0000-000004000000}"/>
    <cellStyle name="쉼표 [0] 2 2 2 2" xfId="104" xr:uid="{00000000-0005-0000-0000-000005000000}"/>
    <cellStyle name="쉼표 [0] 2 2 2 2 2" xfId="196" xr:uid="{00000000-0005-0000-0000-000006000000}"/>
    <cellStyle name="쉼표 [0] 2 2 2 2 2 2" xfId="415" xr:uid="{00000000-0005-0000-0000-000006000000}"/>
    <cellStyle name="쉼표 [0] 2 2 2 2 2 2 2" xfId="853" xr:uid="{00000000-0005-0000-0000-000006000000}"/>
    <cellStyle name="쉼표 [0] 2 2 2 2 2 3" xfId="634" xr:uid="{00000000-0005-0000-0000-000006000000}"/>
    <cellStyle name="쉼표 [0] 2 2 2 2 3" xfId="323" xr:uid="{00000000-0005-0000-0000-000005000000}"/>
    <cellStyle name="쉼표 [0] 2 2 2 2 3 2" xfId="761" xr:uid="{00000000-0005-0000-0000-000005000000}"/>
    <cellStyle name="쉼표 [0] 2 2 2 2 4" xfId="542" xr:uid="{00000000-0005-0000-0000-000005000000}"/>
    <cellStyle name="쉼표 [0] 2 2 2 3" xfId="150" xr:uid="{00000000-0005-0000-0000-000007000000}"/>
    <cellStyle name="쉼표 [0] 2 2 2 3 2" xfId="369" xr:uid="{00000000-0005-0000-0000-000007000000}"/>
    <cellStyle name="쉼표 [0] 2 2 2 3 2 2" xfId="807" xr:uid="{00000000-0005-0000-0000-000007000000}"/>
    <cellStyle name="쉼표 [0] 2 2 2 3 3" xfId="588" xr:uid="{00000000-0005-0000-0000-000007000000}"/>
    <cellStyle name="쉼표 [0] 2 2 2 4" xfId="275" xr:uid="{00000000-0005-0000-0000-000004000000}"/>
    <cellStyle name="쉼표 [0] 2 2 2 4 2" xfId="713" xr:uid="{00000000-0005-0000-0000-000004000000}"/>
    <cellStyle name="쉼표 [0] 2 2 2 5" xfId="494" xr:uid="{00000000-0005-0000-0000-000004000000}"/>
    <cellStyle name="쉼표 [0] 2 2 2 6" xfId="926" xr:uid="{00000000-0005-0000-0000-000004000000}"/>
    <cellStyle name="쉼표 [0] 2 2 3" xfId="68" xr:uid="{00000000-0005-0000-0000-000008000000}"/>
    <cellStyle name="쉼표 [0] 2 2 3 2" xfId="208" xr:uid="{00000000-0005-0000-0000-000009000000}"/>
    <cellStyle name="쉼표 [0] 2 2 3 2 2" xfId="427" xr:uid="{00000000-0005-0000-0000-000009000000}"/>
    <cellStyle name="쉼표 [0] 2 2 3 2 2 2" xfId="865" xr:uid="{00000000-0005-0000-0000-000009000000}"/>
    <cellStyle name="쉼표 [0] 2 2 3 2 3" xfId="646" xr:uid="{00000000-0005-0000-0000-000009000000}"/>
    <cellStyle name="쉼표 [0] 2 2 3 3" xfId="227" xr:uid="{00000000-0005-0000-0000-00000A000000}"/>
    <cellStyle name="쉼표 [0] 2 2 3 3 2" xfId="446" xr:uid="{00000000-0005-0000-0000-00000A000000}"/>
    <cellStyle name="쉼표 [0] 2 2 3 3 2 2" xfId="884" xr:uid="{00000000-0005-0000-0000-00000A000000}"/>
    <cellStyle name="쉼표 [0] 2 2 3 3 3" xfId="665" xr:uid="{00000000-0005-0000-0000-00000A000000}"/>
    <cellStyle name="쉼표 [0] 2 2 3 4" xfId="287" xr:uid="{00000000-0005-0000-0000-000008000000}"/>
    <cellStyle name="쉼표 [0] 2 2 3 4 2" xfId="725" xr:uid="{00000000-0005-0000-0000-000008000000}"/>
    <cellStyle name="쉼표 [0] 2 2 3 5" xfId="506" xr:uid="{00000000-0005-0000-0000-000008000000}"/>
    <cellStyle name="쉼표 [0] 2 2 4" xfId="81" xr:uid="{00000000-0005-0000-0000-00000B000000}"/>
    <cellStyle name="쉼표 [0] 2 2 4 2" xfId="173" xr:uid="{00000000-0005-0000-0000-00000C000000}"/>
    <cellStyle name="쉼표 [0] 2 2 4 2 2" xfId="392" xr:uid="{00000000-0005-0000-0000-00000C000000}"/>
    <cellStyle name="쉼표 [0] 2 2 4 2 2 2" xfId="830" xr:uid="{00000000-0005-0000-0000-00000C000000}"/>
    <cellStyle name="쉼표 [0] 2 2 4 2 3" xfId="611" xr:uid="{00000000-0005-0000-0000-00000C000000}"/>
    <cellStyle name="쉼표 [0] 2 2 4 3" xfId="300" xr:uid="{00000000-0005-0000-0000-00000B000000}"/>
    <cellStyle name="쉼표 [0] 2 2 4 3 2" xfId="738" xr:uid="{00000000-0005-0000-0000-00000B000000}"/>
    <cellStyle name="쉼표 [0] 2 2 4 4" xfId="519" xr:uid="{00000000-0005-0000-0000-00000B000000}"/>
    <cellStyle name="쉼표 [0] 2 2 5" xfId="127" xr:uid="{00000000-0005-0000-0000-00000D000000}"/>
    <cellStyle name="쉼표 [0] 2 2 5 2" xfId="346" xr:uid="{00000000-0005-0000-0000-00000D000000}"/>
    <cellStyle name="쉼표 [0] 2 2 5 2 2" xfId="784" xr:uid="{00000000-0005-0000-0000-00000D000000}"/>
    <cellStyle name="쉼표 [0] 2 2 5 3" xfId="565" xr:uid="{00000000-0005-0000-0000-00000D000000}"/>
    <cellStyle name="쉼표 [0] 2 2 6" xfId="252" xr:uid="{00000000-0005-0000-0000-000003000000}"/>
    <cellStyle name="쉼표 [0] 2 2 6 2" xfId="690" xr:uid="{00000000-0005-0000-0000-000003000000}"/>
    <cellStyle name="쉼표 [0] 2 2 7" xfId="471" xr:uid="{00000000-0005-0000-0000-000003000000}"/>
    <cellStyle name="쉼표 [0] 2 2 8" xfId="903" xr:uid="{00000000-0005-0000-0000-000003000000}"/>
    <cellStyle name="쉼표 [0] 2 3" xfId="44" xr:uid="{00000000-0005-0000-0000-00000E000000}"/>
    <cellStyle name="쉼표 [0] 2 3 2" xfId="93" xr:uid="{00000000-0005-0000-0000-00000F000000}"/>
    <cellStyle name="쉼표 [0] 2 3 2 2" xfId="185" xr:uid="{00000000-0005-0000-0000-000010000000}"/>
    <cellStyle name="쉼표 [0] 2 3 2 2 2" xfId="404" xr:uid="{00000000-0005-0000-0000-000010000000}"/>
    <cellStyle name="쉼표 [0] 2 3 2 2 2 2" xfId="842" xr:uid="{00000000-0005-0000-0000-000010000000}"/>
    <cellStyle name="쉼표 [0] 2 3 2 2 3" xfId="623" xr:uid="{00000000-0005-0000-0000-000010000000}"/>
    <cellStyle name="쉼표 [0] 2 3 2 3" xfId="312" xr:uid="{00000000-0005-0000-0000-00000F000000}"/>
    <cellStyle name="쉼표 [0] 2 3 2 3 2" xfId="750" xr:uid="{00000000-0005-0000-0000-00000F000000}"/>
    <cellStyle name="쉼표 [0] 2 3 2 4" xfId="531" xr:uid="{00000000-0005-0000-0000-00000F000000}"/>
    <cellStyle name="쉼표 [0] 2 3 3" xfId="139" xr:uid="{00000000-0005-0000-0000-000011000000}"/>
    <cellStyle name="쉼표 [0] 2 3 3 2" xfId="358" xr:uid="{00000000-0005-0000-0000-000011000000}"/>
    <cellStyle name="쉼표 [0] 2 3 3 2 2" xfId="796" xr:uid="{00000000-0005-0000-0000-000011000000}"/>
    <cellStyle name="쉼표 [0] 2 3 3 3" xfId="577" xr:uid="{00000000-0005-0000-0000-000011000000}"/>
    <cellStyle name="쉼표 [0] 2 3 4" xfId="264" xr:uid="{00000000-0005-0000-0000-00000E000000}"/>
    <cellStyle name="쉼표 [0] 2 3 4 2" xfId="702" xr:uid="{00000000-0005-0000-0000-00000E000000}"/>
    <cellStyle name="쉼표 [0] 2 3 5" xfId="483" xr:uid="{00000000-0005-0000-0000-00000E000000}"/>
    <cellStyle name="쉼표 [0] 2 3 6" xfId="915" xr:uid="{00000000-0005-0000-0000-000005000000}"/>
    <cellStyle name="쉼표 [0] 2 4" xfId="64" xr:uid="{00000000-0005-0000-0000-000012000000}"/>
    <cellStyle name="쉼표 [0] 2 4 2" xfId="204" xr:uid="{00000000-0005-0000-0000-000013000000}"/>
    <cellStyle name="쉼표 [0] 2 4 2 2" xfId="423" xr:uid="{00000000-0005-0000-0000-000013000000}"/>
    <cellStyle name="쉼표 [0] 2 4 2 2 2" xfId="861" xr:uid="{00000000-0005-0000-0000-000013000000}"/>
    <cellStyle name="쉼표 [0] 2 4 2 3" xfId="642" xr:uid="{00000000-0005-0000-0000-000013000000}"/>
    <cellStyle name="쉼표 [0] 2 4 3" xfId="223" xr:uid="{00000000-0005-0000-0000-000014000000}"/>
    <cellStyle name="쉼표 [0] 2 4 3 2" xfId="442" xr:uid="{00000000-0005-0000-0000-000014000000}"/>
    <cellStyle name="쉼표 [0] 2 4 3 2 2" xfId="880" xr:uid="{00000000-0005-0000-0000-000014000000}"/>
    <cellStyle name="쉼표 [0] 2 4 3 3" xfId="661" xr:uid="{00000000-0005-0000-0000-000014000000}"/>
    <cellStyle name="쉼표 [0] 2 4 4" xfId="283" xr:uid="{00000000-0005-0000-0000-000012000000}"/>
    <cellStyle name="쉼표 [0] 2 4 4 2" xfId="721" xr:uid="{00000000-0005-0000-0000-000012000000}"/>
    <cellStyle name="쉼표 [0] 2 4 5" xfId="502" xr:uid="{00000000-0005-0000-0000-000012000000}"/>
    <cellStyle name="쉼표 [0] 2 5" xfId="20" xr:uid="{00000000-0005-0000-0000-000015000000}"/>
    <cellStyle name="쉼표 [0] 2 5 2" xfId="162" xr:uid="{00000000-0005-0000-0000-000016000000}"/>
    <cellStyle name="쉼표 [0] 2 5 2 2" xfId="381" xr:uid="{00000000-0005-0000-0000-000016000000}"/>
    <cellStyle name="쉼표 [0] 2 5 2 2 2" xfId="819" xr:uid="{00000000-0005-0000-0000-000016000000}"/>
    <cellStyle name="쉼표 [0] 2 5 2 3" xfId="600" xr:uid="{00000000-0005-0000-0000-000016000000}"/>
    <cellStyle name="쉼표 [0] 2 5 3" xfId="241" xr:uid="{00000000-0005-0000-0000-000015000000}"/>
    <cellStyle name="쉼표 [0] 2 5 3 2" xfId="679" xr:uid="{00000000-0005-0000-0000-000015000000}"/>
    <cellStyle name="쉼표 [0] 2 5 4" xfId="460" xr:uid="{00000000-0005-0000-0000-000015000000}"/>
    <cellStyle name="쉼표 [0] 2 6" xfId="116" xr:uid="{00000000-0005-0000-0000-000017000000}"/>
    <cellStyle name="쉼표 [0] 2 6 2" xfId="335" xr:uid="{00000000-0005-0000-0000-000017000000}"/>
    <cellStyle name="쉼표 [0] 2 6 2 2" xfId="773" xr:uid="{00000000-0005-0000-0000-000017000000}"/>
    <cellStyle name="쉼표 [0] 2 6 3" xfId="554" xr:uid="{00000000-0005-0000-0000-000017000000}"/>
    <cellStyle name="쉼표 [0] 2 7" xfId="216" xr:uid="{00000000-0005-0000-0000-000018000000}"/>
    <cellStyle name="쉼표 [0] 2 7 2" xfId="435" xr:uid="{00000000-0005-0000-0000-000018000000}"/>
    <cellStyle name="쉼표 [0] 2 7 2 2" xfId="873" xr:uid="{00000000-0005-0000-0000-000018000000}"/>
    <cellStyle name="쉼표 [0] 2 7 3" xfId="654" xr:uid="{00000000-0005-0000-0000-000018000000}"/>
    <cellStyle name="쉼표 [0] 2 8" xfId="231" xr:uid="{00000000-0005-0000-0000-000002000000}"/>
    <cellStyle name="쉼표 [0] 2 8 2" xfId="669" xr:uid="{00000000-0005-0000-0000-000002000000}"/>
    <cellStyle name="쉼표 [0] 2 9" xfId="450" xr:uid="{00000000-0005-0000-0000-000002000000}"/>
    <cellStyle name="쉼표 [0] 3" xfId="23" xr:uid="{00000000-0005-0000-0000-000019000000}"/>
    <cellStyle name="쉼표 [0] 3 10" xfId="895" xr:uid="{00000000-0005-0000-0000-000006000000}"/>
    <cellStyle name="쉼표 [0] 3 2" xfId="34" xr:uid="{00000000-0005-0000-0000-00001A000000}"/>
    <cellStyle name="쉼표 [0] 3 2 2" xfId="58" xr:uid="{00000000-0005-0000-0000-00001B000000}"/>
    <cellStyle name="쉼표 [0] 3 2 2 2" xfId="107" xr:uid="{00000000-0005-0000-0000-00001C000000}"/>
    <cellStyle name="쉼표 [0] 3 2 2 2 2" xfId="199" xr:uid="{00000000-0005-0000-0000-00001D000000}"/>
    <cellStyle name="쉼표 [0] 3 2 2 2 2 2" xfId="418" xr:uid="{00000000-0005-0000-0000-00001D000000}"/>
    <cellStyle name="쉼표 [0] 3 2 2 2 2 2 2" xfId="856" xr:uid="{00000000-0005-0000-0000-00001D000000}"/>
    <cellStyle name="쉼표 [0] 3 2 2 2 2 3" xfId="637" xr:uid="{00000000-0005-0000-0000-00001D000000}"/>
    <cellStyle name="쉼표 [0] 3 2 2 2 3" xfId="326" xr:uid="{00000000-0005-0000-0000-00001C000000}"/>
    <cellStyle name="쉼표 [0] 3 2 2 2 3 2" xfId="764" xr:uid="{00000000-0005-0000-0000-00001C000000}"/>
    <cellStyle name="쉼표 [0] 3 2 2 2 4" xfId="545" xr:uid="{00000000-0005-0000-0000-00001C000000}"/>
    <cellStyle name="쉼표 [0] 3 2 2 3" xfId="153" xr:uid="{00000000-0005-0000-0000-00001E000000}"/>
    <cellStyle name="쉼표 [0] 3 2 2 3 2" xfId="372" xr:uid="{00000000-0005-0000-0000-00001E000000}"/>
    <cellStyle name="쉼표 [0] 3 2 2 3 2 2" xfId="810" xr:uid="{00000000-0005-0000-0000-00001E000000}"/>
    <cellStyle name="쉼표 [0] 3 2 2 3 3" xfId="591" xr:uid="{00000000-0005-0000-0000-00001E000000}"/>
    <cellStyle name="쉼표 [0] 3 2 2 4" xfId="278" xr:uid="{00000000-0005-0000-0000-00001B000000}"/>
    <cellStyle name="쉼표 [0] 3 2 2 4 2" xfId="716" xr:uid="{00000000-0005-0000-0000-00001B000000}"/>
    <cellStyle name="쉼표 [0] 3 2 2 5" xfId="497" xr:uid="{00000000-0005-0000-0000-00001B000000}"/>
    <cellStyle name="쉼표 [0] 3 2 2 6" xfId="929" xr:uid="{00000000-0005-0000-0000-000008000000}"/>
    <cellStyle name="쉼표 [0] 3 2 3" xfId="84" xr:uid="{00000000-0005-0000-0000-00001F000000}"/>
    <cellStyle name="쉼표 [0] 3 2 3 2" xfId="176" xr:uid="{00000000-0005-0000-0000-000020000000}"/>
    <cellStyle name="쉼표 [0] 3 2 3 2 2" xfId="395" xr:uid="{00000000-0005-0000-0000-000020000000}"/>
    <cellStyle name="쉼표 [0] 3 2 3 2 2 2" xfId="833" xr:uid="{00000000-0005-0000-0000-000020000000}"/>
    <cellStyle name="쉼표 [0] 3 2 3 2 3" xfId="614" xr:uid="{00000000-0005-0000-0000-000020000000}"/>
    <cellStyle name="쉼표 [0] 3 2 3 3" xfId="303" xr:uid="{00000000-0005-0000-0000-00001F000000}"/>
    <cellStyle name="쉼표 [0] 3 2 3 3 2" xfId="741" xr:uid="{00000000-0005-0000-0000-00001F000000}"/>
    <cellStyle name="쉼표 [0] 3 2 3 4" xfId="522" xr:uid="{00000000-0005-0000-0000-00001F000000}"/>
    <cellStyle name="쉼표 [0] 3 2 4" xfId="130" xr:uid="{00000000-0005-0000-0000-000021000000}"/>
    <cellStyle name="쉼표 [0] 3 2 4 2" xfId="349" xr:uid="{00000000-0005-0000-0000-000021000000}"/>
    <cellStyle name="쉼표 [0] 3 2 4 2 2" xfId="787" xr:uid="{00000000-0005-0000-0000-000021000000}"/>
    <cellStyle name="쉼표 [0] 3 2 4 3" xfId="568" xr:uid="{00000000-0005-0000-0000-000021000000}"/>
    <cellStyle name="쉼표 [0] 3 2 5" xfId="255" xr:uid="{00000000-0005-0000-0000-00001A000000}"/>
    <cellStyle name="쉼표 [0] 3 2 5 2" xfId="693" xr:uid="{00000000-0005-0000-0000-00001A000000}"/>
    <cellStyle name="쉼표 [0] 3 2 6" xfId="474" xr:uid="{00000000-0005-0000-0000-00001A000000}"/>
    <cellStyle name="쉼표 [0] 3 2 7" xfId="906" xr:uid="{00000000-0005-0000-0000-000007000000}"/>
    <cellStyle name="쉼표 [0] 3 3" xfId="47" xr:uid="{00000000-0005-0000-0000-000022000000}"/>
    <cellStyle name="쉼표 [0] 3 3 2" xfId="96" xr:uid="{00000000-0005-0000-0000-000023000000}"/>
    <cellStyle name="쉼표 [0] 3 3 2 2" xfId="188" xr:uid="{00000000-0005-0000-0000-000024000000}"/>
    <cellStyle name="쉼표 [0] 3 3 2 2 2" xfId="407" xr:uid="{00000000-0005-0000-0000-000024000000}"/>
    <cellStyle name="쉼표 [0] 3 3 2 2 2 2" xfId="845" xr:uid="{00000000-0005-0000-0000-000024000000}"/>
    <cellStyle name="쉼표 [0] 3 3 2 2 3" xfId="626" xr:uid="{00000000-0005-0000-0000-000024000000}"/>
    <cellStyle name="쉼표 [0] 3 3 2 3" xfId="315" xr:uid="{00000000-0005-0000-0000-000023000000}"/>
    <cellStyle name="쉼표 [0] 3 3 2 3 2" xfId="753" xr:uid="{00000000-0005-0000-0000-000023000000}"/>
    <cellStyle name="쉼표 [0] 3 3 2 4" xfId="534" xr:uid="{00000000-0005-0000-0000-000023000000}"/>
    <cellStyle name="쉼표 [0] 3 3 3" xfId="142" xr:uid="{00000000-0005-0000-0000-000025000000}"/>
    <cellStyle name="쉼표 [0] 3 3 3 2" xfId="361" xr:uid="{00000000-0005-0000-0000-000025000000}"/>
    <cellStyle name="쉼표 [0] 3 3 3 2 2" xfId="799" xr:uid="{00000000-0005-0000-0000-000025000000}"/>
    <cellStyle name="쉼표 [0] 3 3 3 3" xfId="580" xr:uid="{00000000-0005-0000-0000-000025000000}"/>
    <cellStyle name="쉼표 [0] 3 3 4" xfId="267" xr:uid="{00000000-0005-0000-0000-000022000000}"/>
    <cellStyle name="쉼표 [0] 3 3 4 2" xfId="705" xr:uid="{00000000-0005-0000-0000-000022000000}"/>
    <cellStyle name="쉼표 [0] 3 3 5" xfId="486" xr:uid="{00000000-0005-0000-0000-000022000000}"/>
    <cellStyle name="쉼표 [0] 3 3 6" xfId="918" xr:uid="{00000000-0005-0000-0000-000009000000}"/>
    <cellStyle name="쉼표 [0] 3 4" xfId="67" xr:uid="{00000000-0005-0000-0000-000026000000}"/>
    <cellStyle name="쉼표 [0] 3 4 2" xfId="207" xr:uid="{00000000-0005-0000-0000-000027000000}"/>
    <cellStyle name="쉼표 [0] 3 4 2 2" xfId="426" xr:uid="{00000000-0005-0000-0000-000027000000}"/>
    <cellStyle name="쉼표 [0] 3 4 2 2 2" xfId="864" xr:uid="{00000000-0005-0000-0000-000027000000}"/>
    <cellStyle name="쉼표 [0] 3 4 2 3" xfId="645" xr:uid="{00000000-0005-0000-0000-000027000000}"/>
    <cellStyle name="쉼표 [0] 3 4 3" xfId="226" xr:uid="{00000000-0005-0000-0000-000028000000}"/>
    <cellStyle name="쉼표 [0] 3 4 3 2" xfId="445" xr:uid="{00000000-0005-0000-0000-000028000000}"/>
    <cellStyle name="쉼표 [0] 3 4 3 2 2" xfId="883" xr:uid="{00000000-0005-0000-0000-000028000000}"/>
    <cellStyle name="쉼표 [0] 3 4 3 3" xfId="664" xr:uid="{00000000-0005-0000-0000-000028000000}"/>
    <cellStyle name="쉼표 [0] 3 4 4" xfId="286" xr:uid="{00000000-0005-0000-0000-000026000000}"/>
    <cellStyle name="쉼표 [0] 3 4 4 2" xfId="724" xr:uid="{00000000-0005-0000-0000-000026000000}"/>
    <cellStyle name="쉼표 [0] 3 4 5" xfId="505" xr:uid="{00000000-0005-0000-0000-000026000000}"/>
    <cellStyle name="쉼표 [0] 3 5" xfId="73" xr:uid="{00000000-0005-0000-0000-000029000000}"/>
    <cellStyle name="쉼표 [0] 3 5 2" xfId="165" xr:uid="{00000000-0005-0000-0000-00002A000000}"/>
    <cellStyle name="쉼표 [0] 3 5 2 2" xfId="384" xr:uid="{00000000-0005-0000-0000-00002A000000}"/>
    <cellStyle name="쉼표 [0] 3 5 2 2 2" xfId="822" xr:uid="{00000000-0005-0000-0000-00002A000000}"/>
    <cellStyle name="쉼표 [0] 3 5 2 3" xfId="603" xr:uid="{00000000-0005-0000-0000-00002A000000}"/>
    <cellStyle name="쉼표 [0] 3 5 3" xfId="292" xr:uid="{00000000-0005-0000-0000-000029000000}"/>
    <cellStyle name="쉼표 [0] 3 5 3 2" xfId="730" xr:uid="{00000000-0005-0000-0000-000029000000}"/>
    <cellStyle name="쉼표 [0] 3 5 4" xfId="511" xr:uid="{00000000-0005-0000-0000-000029000000}"/>
    <cellStyle name="쉼표 [0] 3 6" xfId="119" xr:uid="{00000000-0005-0000-0000-00002B000000}"/>
    <cellStyle name="쉼표 [0] 3 6 2" xfId="338" xr:uid="{00000000-0005-0000-0000-00002B000000}"/>
    <cellStyle name="쉼표 [0] 3 6 2 2" xfId="776" xr:uid="{00000000-0005-0000-0000-00002B000000}"/>
    <cellStyle name="쉼표 [0] 3 6 3" xfId="557" xr:uid="{00000000-0005-0000-0000-00002B000000}"/>
    <cellStyle name="쉼표 [0] 3 7" xfId="219" xr:uid="{00000000-0005-0000-0000-00002C000000}"/>
    <cellStyle name="쉼표 [0] 3 7 2" xfId="438" xr:uid="{00000000-0005-0000-0000-00002C000000}"/>
    <cellStyle name="쉼표 [0] 3 7 2 2" xfId="876" xr:uid="{00000000-0005-0000-0000-00002C000000}"/>
    <cellStyle name="쉼표 [0] 3 7 3" xfId="657" xr:uid="{00000000-0005-0000-0000-00002C000000}"/>
    <cellStyle name="쉼표 [0] 3 8" xfId="244" xr:uid="{00000000-0005-0000-0000-000019000000}"/>
    <cellStyle name="쉼표 [0] 3 8 2" xfId="682" xr:uid="{00000000-0005-0000-0000-000019000000}"/>
    <cellStyle name="쉼표 [0] 3 9" xfId="463" xr:uid="{00000000-0005-0000-0000-000019000000}"/>
    <cellStyle name="쉼표 [0] 4" xfId="24" xr:uid="{00000000-0005-0000-0000-00002D000000}"/>
    <cellStyle name="쉼표 [0] 4 2" xfId="48" xr:uid="{00000000-0005-0000-0000-00002E000000}"/>
    <cellStyle name="쉼표 [0] 4 2 2" xfId="97" xr:uid="{00000000-0005-0000-0000-00002F000000}"/>
    <cellStyle name="쉼표 [0] 4 2 2 2" xfId="189" xr:uid="{00000000-0005-0000-0000-000030000000}"/>
    <cellStyle name="쉼표 [0] 4 2 2 2 2" xfId="408" xr:uid="{00000000-0005-0000-0000-000030000000}"/>
    <cellStyle name="쉼표 [0] 4 2 2 2 2 2" xfId="846" xr:uid="{00000000-0005-0000-0000-000030000000}"/>
    <cellStyle name="쉼표 [0] 4 2 2 2 3" xfId="627" xr:uid="{00000000-0005-0000-0000-000030000000}"/>
    <cellStyle name="쉼표 [0] 4 2 2 3" xfId="316" xr:uid="{00000000-0005-0000-0000-00002F000000}"/>
    <cellStyle name="쉼표 [0] 4 2 2 3 2" xfId="754" xr:uid="{00000000-0005-0000-0000-00002F000000}"/>
    <cellStyle name="쉼표 [0] 4 2 2 4" xfId="535" xr:uid="{00000000-0005-0000-0000-00002F000000}"/>
    <cellStyle name="쉼표 [0] 4 2 3" xfId="143" xr:uid="{00000000-0005-0000-0000-000031000000}"/>
    <cellStyle name="쉼표 [0] 4 2 3 2" xfId="362" xr:uid="{00000000-0005-0000-0000-000031000000}"/>
    <cellStyle name="쉼표 [0] 4 2 3 2 2" xfId="800" xr:uid="{00000000-0005-0000-0000-000031000000}"/>
    <cellStyle name="쉼표 [0] 4 2 3 3" xfId="581" xr:uid="{00000000-0005-0000-0000-000031000000}"/>
    <cellStyle name="쉼표 [0] 4 2 4" xfId="268" xr:uid="{00000000-0005-0000-0000-00002E000000}"/>
    <cellStyle name="쉼표 [0] 4 2 4 2" xfId="706" xr:uid="{00000000-0005-0000-0000-00002E000000}"/>
    <cellStyle name="쉼표 [0] 4 2 5" xfId="487" xr:uid="{00000000-0005-0000-0000-00002E000000}"/>
    <cellStyle name="쉼표 [0] 4 2 6" xfId="919" xr:uid="{00000000-0005-0000-0000-00000B000000}"/>
    <cellStyle name="쉼표 [0] 4 3" xfId="74" xr:uid="{00000000-0005-0000-0000-000032000000}"/>
    <cellStyle name="쉼표 [0] 4 3 2" xfId="166" xr:uid="{00000000-0005-0000-0000-000033000000}"/>
    <cellStyle name="쉼표 [0] 4 3 2 2" xfId="385" xr:uid="{00000000-0005-0000-0000-000033000000}"/>
    <cellStyle name="쉼표 [0] 4 3 2 2 2" xfId="823" xr:uid="{00000000-0005-0000-0000-000033000000}"/>
    <cellStyle name="쉼표 [0] 4 3 2 3" xfId="604" xr:uid="{00000000-0005-0000-0000-000033000000}"/>
    <cellStyle name="쉼표 [0] 4 3 3" xfId="293" xr:uid="{00000000-0005-0000-0000-000032000000}"/>
    <cellStyle name="쉼표 [0] 4 3 3 2" xfId="731" xr:uid="{00000000-0005-0000-0000-000032000000}"/>
    <cellStyle name="쉼표 [0] 4 3 4" xfId="512" xr:uid="{00000000-0005-0000-0000-000032000000}"/>
    <cellStyle name="쉼표 [0] 4 4" xfId="120" xr:uid="{00000000-0005-0000-0000-000034000000}"/>
    <cellStyle name="쉼표 [0] 4 4 2" xfId="339" xr:uid="{00000000-0005-0000-0000-000034000000}"/>
    <cellStyle name="쉼표 [0] 4 4 2 2" xfId="777" xr:uid="{00000000-0005-0000-0000-000034000000}"/>
    <cellStyle name="쉼표 [0] 4 4 3" xfId="558" xr:uid="{00000000-0005-0000-0000-000034000000}"/>
    <cellStyle name="쉼표 [0] 4 5" xfId="245" xr:uid="{00000000-0005-0000-0000-00002D000000}"/>
    <cellStyle name="쉼표 [0] 4 5 2" xfId="683" xr:uid="{00000000-0005-0000-0000-00002D000000}"/>
    <cellStyle name="쉼표 [0] 4 6" xfId="464" xr:uid="{00000000-0005-0000-0000-00002D000000}"/>
    <cellStyle name="쉼표 [0] 4 7" xfId="896" xr:uid="{00000000-0005-0000-0000-00000A000000}"/>
    <cellStyle name="쉼표 [0] 5" xfId="37" xr:uid="{00000000-0005-0000-0000-000035000000}"/>
    <cellStyle name="쉼표 [0] 5 2" xfId="86" xr:uid="{00000000-0005-0000-0000-000036000000}"/>
    <cellStyle name="쉼표 [0] 5 2 2" xfId="178" xr:uid="{00000000-0005-0000-0000-000037000000}"/>
    <cellStyle name="쉼표 [0] 5 2 2 2" xfId="397" xr:uid="{00000000-0005-0000-0000-000037000000}"/>
    <cellStyle name="쉼표 [0] 5 2 2 2 2" xfId="835" xr:uid="{00000000-0005-0000-0000-000037000000}"/>
    <cellStyle name="쉼표 [0] 5 2 2 3" xfId="616" xr:uid="{00000000-0005-0000-0000-000037000000}"/>
    <cellStyle name="쉼표 [0] 5 2 3" xfId="305" xr:uid="{00000000-0005-0000-0000-000036000000}"/>
    <cellStyle name="쉼표 [0] 5 2 3 2" xfId="743" xr:uid="{00000000-0005-0000-0000-000036000000}"/>
    <cellStyle name="쉼표 [0] 5 2 4" xfId="524" xr:uid="{00000000-0005-0000-0000-000036000000}"/>
    <cellStyle name="쉼표 [0] 5 3" xfId="132" xr:uid="{00000000-0005-0000-0000-000038000000}"/>
    <cellStyle name="쉼표 [0] 5 3 2" xfId="351" xr:uid="{00000000-0005-0000-0000-000038000000}"/>
    <cellStyle name="쉼표 [0] 5 3 2 2" xfId="789" xr:uid="{00000000-0005-0000-0000-000038000000}"/>
    <cellStyle name="쉼표 [0] 5 3 3" xfId="570" xr:uid="{00000000-0005-0000-0000-000038000000}"/>
    <cellStyle name="쉼표 [0] 5 4" xfId="257" xr:uid="{00000000-0005-0000-0000-000035000000}"/>
    <cellStyle name="쉼표 [0] 5 4 2" xfId="695" xr:uid="{00000000-0005-0000-0000-000035000000}"/>
    <cellStyle name="쉼표 [0] 5 5" xfId="476" xr:uid="{00000000-0005-0000-0000-000035000000}"/>
    <cellStyle name="쉼표 [0] 5 6" xfId="908" xr:uid="{00000000-0005-0000-0000-00000C000000}"/>
    <cellStyle name="쉼표 [0] 6" xfId="12" xr:uid="{00000000-0005-0000-0000-000039000000}"/>
    <cellStyle name="쉼표 [0] 6 2" xfId="155" xr:uid="{00000000-0005-0000-0000-00003A000000}"/>
    <cellStyle name="쉼표 [0] 6 2 2" xfId="374" xr:uid="{00000000-0005-0000-0000-00003A000000}"/>
    <cellStyle name="쉼표 [0] 6 2 2 2" xfId="812" xr:uid="{00000000-0005-0000-0000-00003A000000}"/>
    <cellStyle name="쉼표 [0] 6 2 3" xfId="593" xr:uid="{00000000-0005-0000-0000-00003A000000}"/>
    <cellStyle name="쉼표 [0] 6 3" xfId="234" xr:uid="{00000000-0005-0000-0000-000039000000}"/>
    <cellStyle name="쉼표 [0] 6 3 2" xfId="672" xr:uid="{00000000-0005-0000-0000-000039000000}"/>
    <cellStyle name="쉼표 [0] 6 4" xfId="453" xr:uid="{00000000-0005-0000-0000-000039000000}"/>
    <cellStyle name="쉼표 [0] 7" xfId="109" xr:uid="{00000000-0005-0000-0000-00003B000000}"/>
    <cellStyle name="쉼표 [0] 7 2" xfId="328" xr:uid="{00000000-0005-0000-0000-00003B000000}"/>
    <cellStyle name="쉼표 [0] 7 2 2" xfId="766" xr:uid="{00000000-0005-0000-0000-00003B000000}"/>
    <cellStyle name="쉼표 [0] 7 3" xfId="547" xr:uid="{00000000-0005-0000-0000-00003B000000}"/>
    <cellStyle name="쉼표 [0] 8" xfId="209" xr:uid="{00000000-0005-0000-0000-00003C000000}"/>
    <cellStyle name="쉼표 [0] 8 2" xfId="428" xr:uid="{00000000-0005-0000-0000-00003C000000}"/>
    <cellStyle name="쉼표 [0] 8 2 2" xfId="866" xr:uid="{00000000-0005-0000-0000-00003C000000}"/>
    <cellStyle name="쉼표 [0] 8 3" xfId="647" xr:uid="{00000000-0005-0000-0000-00003C000000}"/>
    <cellStyle name="쉼표 [0] 9" xfId="228" xr:uid="{00000000-0005-0000-0000-000013010000}"/>
    <cellStyle name="쉼표 [0] 9 2" xfId="666" xr:uid="{00000000-0005-0000-0000-000013010000}"/>
    <cellStyle name="표준" xfId="0" builtinId="0"/>
    <cellStyle name="표준 10" xfId="60" xr:uid="{00000000-0005-0000-0000-00003E000000}"/>
    <cellStyle name="표준 10 2" xfId="201" xr:uid="{00000000-0005-0000-0000-00003F000000}"/>
    <cellStyle name="표준 10 2 2" xfId="420" xr:uid="{00000000-0005-0000-0000-00003F000000}"/>
    <cellStyle name="표준 10 2 2 2" xfId="858" xr:uid="{00000000-0005-0000-0000-00003F000000}"/>
    <cellStyle name="표준 10 2 3" xfId="639" xr:uid="{00000000-0005-0000-0000-00003F000000}"/>
    <cellStyle name="표준 10 3" xfId="220" xr:uid="{00000000-0005-0000-0000-000040000000}"/>
    <cellStyle name="표준 10 3 2" xfId="439" xr:uid="{00000000-0005-0000-0000-000040000000}"/>
    <cellStyle name="표준 10 3 2 2" xfId="877" xr:uid="{00000000-0005-0000-0000-000040000000}"/>
    <cellStyle name="표준 10 3 3" xfId="658" xr:uid="{00000000-0005-0000-0000-000040000000}"/>
    <cellStyle name="표준 10 4" xfId="280" xr:uid="{00000000-0005-0000-0000-00003E000000}"/>
    <cellStyle name="표준 10 4 2" xfId="718" xr:uid="{00000000-0005-0000-0000-00003E000000}"/>
    <cellStyle name="표준 10 5" xfId="499" xr:uid="{00000000-0005-0000-0000-00003E000000}"/>
    <cellStyle name="표준 2" xfId="4" xr:uid="{00000000-0005-0000-0000-000041000000}"/>
    <cellStyle name="표준 2 2" xfId="36" xr:uid="{00000000-0005-0000-0000-000042000000}"/>
    <cellStyle name="표준 2 2 2" xfId="16" xr:uid="{00000000-0005-0000-0000-000043000000}"/>
    <cellStyle name="표준 2 3" xfId="6" xr:uid="{00000000-0005-0000-0000-000044000000}"/>
    <cellStyle name="표준 2 3 2" xfId="937" xr:uid="{00000000-0005-0000-0000-000006000000}"/>
    <cellStyle name="표준 3" xfId="5" xr:uid="{00000000-0005-0000-0000-000045000000}"/>
    <cellStyle name="표준 4" xfId="8" xr:uid="{00000000-0005-0000-0000-000046000000}"/>
    <cellStyle name="표준 5" xfId="15" xr:uid="{00000000-0005-0000-0000-000047000000}"/>
    <cellStyle name="표준 5 10" xfId="888" xr:uid="{00000000-0005-0000-0000-000014000000}"/>
    <cellStyle name="표준 5 2" xfId="27" xr:uid="{00000000-0005-0000-0000-000048000000}"/>
    <cellStyle name="표준 5 2 2" xfId="51" xr:uid="{00000000-0005-0000-0000-000049000000}"/>
    <cellStyle name="표준 5 2 2 2" xfId="100" xr:uid="{00000000-0005-0000-0000-00004A000000}"/>
    <cellStyle name="표준 5 2 2 2 2" xfId="192" xr:uid="{00000000-0005-0000-0000-00004B000000}"/>
    <cellStyle name="표준 5 2 2 2 2 2" xfId="411" xr:uid="{00000000-0005-0000-0000-00004B000000}"/>
    <cellStyle name="표준 5 2 2 2 2 2 2" xfId="849" xr:uid="{00000000-0005-0000-0000-00004B000000}"/>
    <cellStyle name="표준 5 2 2 2 2 3" xfId="630" xr:uid="{00000000-0005-0000-0000-00004B000000}"/>
    <cellStyle name="표준 5 2 2 2 3" xfId="319" xr:uid="{00000000-0005-0000-0000-00004A000000}"/>
    <cellStyle name="표준 5 2 2 2 3 2" xfId="757" xr:uid="{00000000-0005-0000-0000-00004A000000}"/>
    <cellStyle name="표준 5 2 2 2 4" xfId="538" xr:uid="{00000000-0005-0000-0000-00004A000000}"/>
    <cellStyle name="표준 5 2 2 3" xfId="146" xr:uid="{00000000-0005-0000-0000-00004C000000}"/>
    <cellStyle name="표준 5 2 2 3 2" xfId="365" xr:uid="{00000000-0005-0000-0000-00004C000000}"/>
    <cellStyle name="표준 5 2 2 3 2 2" xfId="803" xr:uid="{00000000-0005-0000-0000-00004C000000}"/>
    <cellStyle name="표준 5 2 2 3 3" xfId="584" xr:uid="{00000000-0005-0000-0000-00004C000000}"/>
    <cellStyle name="표준 5 2 2 4" xfId="271" xr:uid="{00000000-0005-0000-0000-000049000000}"/>
    <cellStyle name="표준 5 2 2 4 2" xfId="709" xr:uid="{00000000-0005-0000-0000-000049000000}"/>
    <cellStyle name="표준 5 2 2 5" xfId="490" xr:uid="{00000000-0005-0000-0000-000049000000}"/>
    <cellStyle name="표준 5 2 2 6" xfId="922" xr:uid="{00000000-0005-0000-0000-000016000000}"/>
    <cellStyle name="표준 5 2 3" xfId="77" xr:uid="{00000000-0005-0000-0000-00004D000000}"/>
    <cellStyle name="표준 5 2 3 2" xfId="169" xr:uid="{00000000-0005-0000-0000-00004E000000}"/>
    <cellStyle name="표준 5 2 3 2 2" xfId="388" xr:uid="{00000000-0005-0000-0000-00004E000000}"/>
    <cellStyle name="표준 5 2 3 2 2 2" xfId="826" xr:uid="{00000000-0005-0000-0000-00004E000000}"/>
    <cellStyle name="표준 5 2 3 2 3" xfId="607" xr:uid="{00000000-0005-0000-0000-00004E000000}"/>
    <cellStyle name="표준 5 2 3 3" xfId="296" xr:uid="{00000000-0005-0000-0000-00004D000000}"/>
    <cellStyle name="표준 5 2 3 3 2" xfId="734" xr:uid="{00000000-0005-0000-0000-00004D000000}"/>
    <cellStyle name="표준 5 2 3 4" xfId="515" xr:uid="{00000000-0005-0000-0000-00004D000000}"/>
    <cellStyle name="표준 5 2 4" xfId="123" xr:uid="{00000000-0005-0000-0000-00004F000000}"/>
    <cellStyle name="표준 5 2 4 2" xfId="342" xr:uid="{00000000-0005-0000-0000-00004F000000}"/>
    <cellStyle name="표준 5 2 4 2 2" xfId="780" xr:uid="{00000000-0005-0000-0000-00004F000000}"/>
    <cellStyle name="표준 5 2 4 3" xfId="561" xr:uid="{00000000-0005-0000-0000-00004F000000}"/>
    <cellStyle name="표준 5 2 5" xfId="248" xr:uid="{00000000-0005-0000-0000-000048000000}"/>
    <cellStyle name="표준 5 2 5 2" xfId="686" xr:uid="{00000000-0005-0000-0000-000048000000}"/>
    <cellStyle name="표준 5 2 6" xfId="467" xr:uid="{00000000-0005-0000-0000-000048000000}"/>
    <cellStyle name="표준 5 2 7" xfId="899" xr:uid="{00000000-0005-0000-0000-000015000000}"/>
    <cellStyle name="표준 5 3" xfId="40" xr:uid="{00000000-0005-0000-0000-000050000000}"/>
    <cellStyle name="표준 5 3 2" xfId="89" xr:uid="{00000000-0005-0000-0000-000051000000}"/>
    <cellStyle name="표준 5 3 2 2" xfId="181" xr:uid="{00000000-0005-0000-0000-000052000000}"/>
    <cellStyle name="표준 5 3 2 2 2" xfId="400" xr:uid="{00000000-0005-0000-0000-000052000000}"/>
    <cellStyle name="표준 5 3 2 2 2 2" xfId="838" xr:uid="{00000000-0005-0000-0000-000052000000}"/>
    <cellStyle name="표준 5 3 2 2 3" xfId="619" xr:uid="{00000000-0005-0000-0000-000052000000}"/>
    <cellStyle name="표준 5 3 2 3" xfId="308" xr:uid="{00000000-0005-0000-0000-000051000000}"/>
    <cellStyle name="표준 5 3 2 3 2" xfId="746" xr:uid="{00000000-0005-0000-0000-000051000000}"/>
    <cellStyle name="표준 5 3 2 4" xfId="527" xr:uid="{00000000-0005-0000-0000-000051000000}"/>
    <cellStyle name="표준 5 3 3" xfId="135" xr:uid="{00000000-0005-0000-0000-000053000000}"/>
    <cellStyle name="표준 5 3 3 2" xfId="354" xr:uid="{00000000-0005-0000-0000-000053000000}"/>
    <cellStyle name="표준 5 3 3 2 2" xfId="792" xr:uid="{00000000-0005-0000-0000-000053000000}"/>
    <cellStyle name="표준 5 3 3 3" xfId="573" xr:uid="{00000000-0005-0000-0000-000053000000}"/>
    <cellStyle name="표준 5 3 4" xfId="260" xr:uid="{00000000-0005-0000-0000-000050000000}"/>
    <cellStyle name="표준 5 3 4 2" xfId="698" xr:uid="{00000000-0005-0000-0000-000050000000}"/>
    <cellStyle name="표준 5 3 5" xfId="479" xr:uid="{00000000-0005-0000-0000-000050000000}"/>
    <cellStyle name="표준 5 3 6" xfId="911" xr:uid="{00000000-0005-0000-0000-000017000000}"/>
    <cellStyle name="표준 5 4" xfId="61" xr:uid="{00000000-0005-0000-0000-000054000000}"/>
    <cellStyle name="표준 5 5" xfId="69" xr:uid="{00000000-0005-0000-0000-000055000000}"/>
    <cellStyle name="표준 5 5 2" xfId="158" xr:uid="{00000000-0005-0000-0000-000056000000}"/>
    <cellStyle name="표준 5 5 2 2" xfId="377" xr:uid="{00000000-0005-0000-0000-000056000000}"/>
    <cellStyle name="표준 5 5 2 2 2" xfId="815" xr:uid="{00000000-0005-0000-0000-000056000000}"/>
    <cellStyle name="표준 5 5 2 3" xfId="596" xr:uid="{00000000-0005-0000-0000-000056000000}"/>
    <cellStyle name="표준 5 5 3" xfId="288" xr:uid="{00000000-0005-0000-0000-000055000000}"/>
    <cellStyle name="표준 5 5 3 2" xfId="726" xr:uid="{00000000-0005-0000-0000-000055000000}"/>
    <cellStyle name="표준 5 5 4" xfId="507" xr:uid="{00000000-0005-0000-0000-000055000000}"/>
    <cellStyle name="표준 5 6" xfId="112" xr:uid="{00000000-0005-0000-0000-000057000000}"/>
    <cellStyle name="표준 5 6 2" xfId="331" xr:uid="{00000000-0005-0000-0000-000057000000}"/>
    <cellStyle name="표준 5 6 2 2" xfId="769" xr:uid="{00000000-0005-0000-0000-000057000000}"/>
    <cellStyle name="표준 5 6 3" xfId="550" xr:uid="{00000000-0005-0000-0000-000057000000}"/>
    <cellStyle name="표준 5 7" xfId="212" xr:uid="{00000000-0005-0000-0000-000058000000}"/>
    <cellStyle name="표준 5 7 2" xfId="431" xr:uid="{00000000-0005-0000-0000-000058000000}"/>
    <cellStyle name="표준 5 7 2 2" xfId="869" xr:uid="{00000000-0005-0000-0000-000058000000}"/>
    <cellStyle name="표준 5 7 3" xfId="650" xr:uid="{00000000-0005-0000-0000-000058000000}"/>
    <cellStyle name="표준 5 8" xfId="237" xr:uid="{00000000-0005-0000-0000-000047000000}"/>
    <cellStyle name="표준 5 8 2" xfId="675" xr:uid="{00000000-0005-0000-0000-000047000000}"/>
    <cellStyle name="표준 5 9" xfId="456" xr:uid="{00000000-0005-0000-0000-000047000000}"/>
    <cellStyle name="표준 6" xfId="3" xr:uid="{00000000-0005-0000-0000-000059000000}"/>
    <cellStyle name="표준 6 10" xfId="229" xr:uid="{00000000-0005-0000-0000-000059000000}"/>
    <cellStyle name="표준 6 10 2" xfId="667" xr:uid="{00000000-0005-0000-0000-000059000000}"/>
    <cellStyle name="표준 6 11" xfId="448" xr:uid="{00000000-0005-0000-0000-000059000000}"/>
    <cellStyle name="표준 6 12" xfId="886" xr:uid="{00000000-0005-0000-0000-000018000000}"/>
    <cellStyle name="표준 6 13" xfId="932" xr:uid="{00000000-0005-0000-0000-000009000000}"/>
    <cellStyle name="표준 6 2" xfId="10" xr:uid="{00000000-0005-0000-0000-00005A000000}"/>
    <cellStyle name="표준 6 2 10" xfId="893" xr:uid="{00000000-0005-0000-0000-000019000000}"/>
    <cellStyle name="표준 6 2 11" xfId="935" xr:uid="{00000000-0005-0000-0000-00000A000000}"/>
    <cellStyle name="표준 6 2 2" xfId="32" xr:uid="{00000000-0005-0000-0000-00005B000000}"/>
    <cellStyle name="표준 6 2 2 2" xfId="56" xr:uid="{00000000-0005-0000-0000-00005C000000}"/>
    <cellStyle name="표준 6 2 2 2 2" xfId="105" xr:uid="{00000000-0005-0000-0000-00005D000000}"/>
    <cellStyle name="표준 6 2 2 2 2 2" xfId="197" xr:uid="{00000000-0005-0000-0000-00005E000000}"/>
    <cellStyle name="표준 6 2 2 2 2 2 2" xfId="416" xr:uid="{00000000-0005-0000-0000-00005E000000}"/>
    <cellStyle name="표준 6 2 2 2 2 2 2 2" xfId="854" xr:uid="{00000000-0005-0000-0000-00005E000000}"/>
    <cellStyle name="표준 6 2 2 2 2 2 3" xfId="635" xr:uid="{00000000-0005-0000-0000-00005E000000}"/>
    <cellStyle name="표준 6 2 2 2 2 3" xfId="324" xr:uid="{00000000-0005-0000-0000-00005D000000}"/>
    <cellStyle name="표준 6 2 2 2 2 3 2" xfId="762" xr:uid="{00000000-0005-0000-0000-00005D000000}"/>
    <cellStyle name="표준 6 2 2 2 2 4" xfId="543" xr:uid="{00000000-0005-0000-0000-00005D000000}"/>
    <cellStyle name="표준 6 2 2 2 3" xfId="151" xr:uid="{00000000-0005-0000-0000-00005F000000}"/>
    <cellStyle name="표준 6 2 2 2 3 2" xfId="370" xr:uid="{00000000-0005-0000-0000-00005F000000}"/>
    <cellStyle name="표준 6 2 2 2 3 2 2" xfId="808" xr:uid="{00000000-0005-0000-0000-00005F000000}"/>
    <cellStyle name="표준 6 2 2 2 3 3" xfId="589" xr:uid="{00000000-0005-0000-0000-00005F000000}"/>
    <cellStyle name="표준 6 2 2 2 4" xfId="276" xr:uid="{00000000-0005-0000-0000-00005C000000}"/>
    <cellStyle name="표준 6 2 2 2 4 2" xfId="714" xr:uid="{00000000-0005-0000-0000-00005C000000}"/>
    <cellStyle name="표준 6 2 2 2 5" xfId="495" xr:uid="{00000000-0005-0000-0000-00005C000000}"/>
    <cellStyle name="표준 6 2 2 2 6" xfId="927" xr:uid="{00000000-0005-0000-0000-00001B000000}"/>
    <cellStyle name="표준 6 2 2 3" xfId="82" xr:uid="{00000000-0005-0000-0000-000060000000}"/>
    <cellStyle name="표준 6 2 2 3 2" xfId="174" xr:uid="{00000000-0005-0000-0000-000061000000}"/>
    <cellStyle name="표준 6 2 2 3 2 2" xfId="393" xr:uid="{00000000-0005-0000-0000-000061000000}"/>
    <cellStyle name="표준 6 2 2 3 2 2 2" xfId="831" xr:uid="{00000000-0005-0000-0000-000061000000}"/>
    <cellStyle name="표준 6 2 2 3 2 3" xfId="612" xr:uid="{00000000-0005-0000-0000-000061000000}"/>
    <cellStyle name="표준 6 2 2 3 3" xfId="301" xr:uid="{00000000-0005-0000-0000-000060000000}"/>
    <cellStyle name="표준 6 2 2 3 3 2" xfId="739" xr:uid="{00000000-0005-0000-0000-000060000000}"/>
    <cellStyle name="표준 6 2 2 3 4" xfId="520" xr:uid="{00000000-0005-0000-0000-000060000000}"/>
    <cellStyle name="표준 6 2 2 4" xfId="128" xr:uid="{00000000-0005-0000-0000-000062000000}"/>
    <cellStyle name="표준 6 2 2 4 2" xfId="347" xr:uid="{00000000-0005-0000-0000-000062000000}"/>
    <cellStyle name="표준 6 2 2 4 2 2" xfId="785" xr:uid="{00000000-0005-0000-0000-000062000000}"/>
    <cellStyle name="표준 6 2 2 4 3" xfId="566" xr:uid="{00000000-0005-0000-0000-000062000000}"/>
    <cellStyle name="표준 6 2 2 5" xfId="253" xr:uid="{00000000-0005-0000-0000-00005B000000}"/>
    <cellStyle name="표준 6 2 2 5 2" xfId="691" xr:uid="{00000000-0005-0000-0000-00005B000000}"/>
    <cellStyle name="표준 6 2 2 6" xfId="472" xr:uid="{00000000-0005-0000-0000-00005B000000}"/>
    <cellStyle name="표준 6 2 2 7" xfId="904" xr:uid="{00000000-0005-0000-0000-00001A000000}"/>
    <cellStyle name="표준 6 2 3" xfId="45" xr:uid="{00000000-0005-0000-0000-000063000000}"/>
    <cellStyle name="표준 6 2 3 2" xfId="94" xr:uid="{00000000-0005-0000-0000-000064000000}"/>
    <cellStyle name="표준 6 2 3 2 2" xfId="186" xr:uid="{00000000-0005-0000-0000-000065000000}"/>
    <cellStyle name="표준 6 2 3 2 2 2" xfId="405" xr:uid="{00000000-0005-0000-0000-000065000000}"/>
    <cellStyle name="표준 6 2 3 2 2 2 2" xfId="843" xr:uid="{00000000-0005-0000-0000-000065000000}"/>
    <cellStyle name="표준 6 2 3 2 2 3" xfId="624" xr:uid="{00000000-0005-0000-0000-000065000000}"/>
    <cellStyle name="표준 6 2 3 2 3" xfId="313" xr:uid="{00000000-0005-0000-0000-000064000000}"/>
    <cellStyle name="표준 6 2 3 2 3 2" xfId="751" xr:uid="{00000000-0005-0000-0000-000064000000}"/>
    <cellStyle name="표준 6 2 3 2 4" xfId="532" xr:uid="{00000000-0005-0000-0000-000064000000}"/>
    <cellStyle name="표준 6 2 3 3" xfId="140" xr:uid="{00000000-0005-0000-0000-000066000000}"/>
    <cellStyle name="표준 6 2 3 3 2" xfId="359" xr:uid="{00000000-0005-0000-0000-000066000000}"/>
    <cellStyle name="표준 6 2 3 3 2 2" xfId="797" xr:uid="{00000000-0005-0000-0000-000066000000}"/>
    <cellStyle name="표준 6 2 3 3 3" xfId="578" xr:uid="{00000000-0005-0000-0000-000066000000}"/>
    <cellStyle name="표준 6 2 3 4" xfId="265" xr:uid="{00000000-0005-0000-0000-000063000000}"/>
    <cellStyle name="표준 6 2 3 4 2" xfId="703" xr:uid="{00000000-0005-0000-0000-000063000000}"/>
    <cellStyle name="표준 6 2 3 5" xfId="484" xr:uid="{00000000-0005-0000-0000-000063000000}"/>
    <cellStyle name="표준 6 2 3 6" xfId="916" xr:uid="{00000000-0005-0000-0000-00001C000000}"/>
    <cellStyle name="표준 6 2 4" xfId="65" xr:uid="{00000000-0005-0000-0000-000067000000}"/>
    <cellStyle name="표준 6 2 4 2" xfId="205" xr:uid="{00000000-0005-0000-0000-000068000000}"/>
    <cellStyle name="표준 6 2 4 2 2" xfId="424" xr:uid="{00000000-0005-0000-0000-000068000000}"/>
    <cellStyle name="표준 6 2 4 2 2 2" xfId="862" xr:uid="{00000000-0005-0000-0000-000068000000}"/>
    <cellStyle name="표준 6 2 4 2 3" xfId="643" xr:uid="{00000000-0005-0000-0000-000068000000}"/>
    <cellStyle name="표준 6 2 4 3" xfId="224" xr:uid="{00000000-0005-0000-0000-000069000000}"/>
    <cellStyle name="표준 6 2 4 3 2" xfId="443" xr:uid="{00000000-0005-0000-0000-000069000000}"/>
    <cellStyle name="표준 6 2 4 3 2 2" xfId="881" xr:uid="{00000000-0005-0000-0000-000069000000}"/>
    <cellStyle name="표준 6 2 4 3 3" xfId="662" xr:uid="{00000000-0005-0000-0000-000069000000}"/>
    <cellStyle name="표준 6 2 4 4" xfId="284" xr:uid="{00000000-0005-0000-0000-000067000000}"/>
    <cellStyle name="표준 6 2 4 4 2" xfId="722" xr:uid="{00000000-0005-0000-0000-000067000000}"/>
    <cellStyle name="표준 6 2 4 5" xfId="503" xr:uid="{00000000-0005-0000-0000-000067000000}"/>
    <cellStyle name="표준 6 2 5" xfId="21" xr:uid="{00000000-0005-0000-0000-00006A000000}"/>
    <cellStyle name="표준 6 2 5 2" xfId="163" xr:uid="{00000000-0005-0000-0000-00006B000000}"/>
    <cellStyle name="표준 6 2 5 2 2" xfId="382" xr:uid="{00000000-0005-0000-0000-00006B000000}"/>
    <cellStyle name="표준 6 2 5 2 2 2" xfId="820" xr:uid="{00000000-0005-0000-0000-00006B000000}"/>
    <cellStyle name="표준 6 2 5 2 3" xfId="601" xr:uid="{00000000-0005-0000-0000-00006B000000}"/>
    <cellStyle name="표준 6 2 5 3" xfId="242" xr:uid="{00000000-0005-0000-0000-00006A000000}"/>
    <cellStyle name="표준 6 2 5 3 2" xfId="680" xr:uid="{00000000-0005-0000-0000-00006A000000}"/>
    <cellStyle name="표준 6 2 5 4" xfId="461" xr:uid="{00000000-0005-0000-0000-00006A000000}"/>
    <cellStyle name="표준 6 2 6" xfId="117" xr:uid="{00000000-0005-0000-0000-00006C000000}"/>
    <cellStyle name="표준 6 2 6 2" xfId="336" xr:uid="{00000000-0005-0000-0000-00006C000000}"/>
    <cellStyle name="표준 6 2 6 2 2" xfId="774" xr:uid="{00000000-0005-0000-0000-00006C000000}"/>
    <cellStyle name="표준 6 2 6 3" xfId="555" xr:uid="{00000000-0005-0000-0000-00006C000000}"/>
    <cellStyle name="표준 6 2 7" xfId="217" xr:uid="{00000000-0005-0000-0000-00006D000000}"/>
    <cellStyle name="표준 6 2 7 2" xfId="436" xr:uid="{00000000-0005-0000-0000-00006D000000}"/>
    <cellStyle name="표준 6 2 7 2 2" xfId="874" xr:uid="{00000000-0005-0000-0000-00006D000000}"/>
    <cellStyle name="표준 6 2 7 3" xfId="655" xr:uid="{00000000-0005-0000-0000-00006D000000}"/>
    <cellStyle name="표준 6 2 8" xfId="232" xr:uid="{00000000-0005-0000-0000-00005A000000}"/>
    <cellStyle name="표준 6 2 8 2" xfId="670" xr:uid="{00000000-0005-0000-0000-00005A000000}"/>
    <cellStyle name="표준 6 2 9" xfId="451" xr:uid="{00000000-0005-0000-0000-00005A000000}"/>
    <cellStyle name="표준 6 3" xfId="18" xr:uid="{00000000-0005-0000-0000-00006E000000}"/>
    <cellStyle name="표준 6 3 2" xfId="29" xr:uid="{00000000-0005-0000-0000-00006F000000}"/>
    <cellStyle name="표준 6 3 2 2" xfId="53" xr:uid="{00000000-0005-0000-0000-000070000000}"/>
    <cellStyle name="표준 6 3 2 2 2" xfId="102" xr:uid="{00000000-0005-0000-0000-000071000000}"/>
    <cellStyle name="표준 6 3 2 2 2 2" xfId="194" xr:uid="{00000000-0005-0000-0000-000072000000}"/>
    <cellStyle name="표준 6 3 2 2 2 2 2" xfId="413" xr:uid="{00000000-0005-0000-0000-000072000000}"/>
    <cellStyle name="표준 6 3 2 2 2 2 2 2" xfId="851" xr:uid="{00000000-0005-0000-0000-000072000000}"/>
    <cellStyle name="표준 6 3 2 2 2 2 3" xfId="632" xr:uid="{00000000-0005-0000-0000-000072000000}"/>
    <cellStyle name="표준 6 3 2 2 2 3" xfId="321" xr:uid="{00000000-0005-0000-0000-000071000000}"/>
    <cellStyle name="표준 6 3 2 2 2 3 2" xfId="759" xr:uid="{00000000-0005-0000-0000-000071000000}"/>
    <cellStyle name="표준 6 3 2 2 2 4" xfId="540" xr:uid="{00000000-0005-0000-0000-000071000000}"/>
    <cellStyle name="표준 6 3 2 2 3" xfId="148" xr:uid="{00000000-0005-0000-0000-000073000000}"/>
    <cellStyle name="표준 6 3 2 2 3 2" xfId="367" xr:uid="{00000000-0005-0000-0000-000073000000}"/>
    <cellStyle name="표준 6 3 2 2 3 2 2" xfId="805" xr:uid="{00000000-0005-0000-0000-000073000000}"/>
    <cellStyle name="표준 6 3 2 2 3 3" xfId="586" xr:uid="{00000000-0005-0000-0000-000073000000}"/>
    <cellStyle name="표준 6 3 2 2 4" xfId="273" xr:uid="{00000000-0005-0000-0000-000070000000}"/>
    <cellStyle name="표준 6 3 2 2 4 2" xfId="711" xr:uid="{00000000-0005-0000-0000-000070000000}"/>
    <cellStyle name="표준 6 3 2 2 5" xfId="492" xr:uid="{00000000-0005-0000-0000-000070000000}"/>
    <cellStyle name="표준 6 3 2 2 6" xfId="924" xr:uid="{00000000-0005-0000-0000-00001F000000}"/>
    <cellStyle name="표준 6 3 2 3" xfId="79" xr:uid="{00000000-0005-0000-0000-000074000000}"/>
    <cellStyle name="표준 6 3 2 3 2" xfId="171" xr:uid="{00000000-0005-0000-0000-000075000000}"/>
    <cellStyle name="표준 6 3 2 3 2 2" xfId="390" xr:uid="{00000000-0005-0000-0000-000075000000}"/>
    <cellStyle name="표준 6 3 2 3 2 2 2" xfId="828" xr:uid="{00000000-0005-0000-0000-000075000000}"/>
    <cellStyle name="표준 6 3 2 3 2 3" xfId="609" xr:uid="{00000000-0005-0000-0000-000075000000}"/>
    <cellStyle name="표준 6 3 2 3 3" xfId="298" xr:uid="{00000000-0005-0000-0000-000074000000}"/>
    <cellStyle name="표준 6 3 2 3 3 2" xfId="736" xr:uid="{00000000-0005-0000-0000-000074000000}"/>
    <cellStyle name="표준 6 3 2 3 4" xfId="517" xr:uid="{00000000-0005-0000-0000-000074000000}"/>
    <cellStyle name="표준 6 3 2 4" xfId="125" xr:uid="{00000000-0005-0000-0000-000076000000}"/>
    <cellStyle name="표준 6 3 2 4 2" xfId="344" xr:uid="{00000000-0005-0000-0000-000076000000}"/>
    <cellStyle name="표준 6 3 2 4 2 2" xfId="782" xr:uid="{00000000-0005-0000-0000-000076000000}"/>
    <cellStyle name="표준 6 3 2 4 3" xfId="563" xr:uid="{00000000-0005-0000-0000-000076000000}"/>
    <cellStyle name="표준 6 3 2 5" xfId="250" xr:uid="{00000000-0005-0000-0000-00006F000000}"/>
    <cellStyle name="표준 6 3 2 5 2" xfId="688" xr:uid="{00000000-0005-0000-0000-00006F000000}"/>
    <cellStyle name="표준 6 3 2 6" xfId="469" xr:uid="{00000000-0005-0000-0000-00006F000000}"/>
    <cellStyle name="표준 6 3 2 7" xfId="901" xr:uid="{00000000-0005-0000-0000-00001E000000}"/>
    <cellStyle name="표준 6 3 3" xfId="42" xr:uid="{00000000-0005-0000-0000-000077000000}"/>
    <cellStyle name="표준 6 3 3 2" xfId="91" xr:uid="{00000000-0005-0000-0000-000078000000}"/>
    <cellStyle name="표준 6 3 3 2 2" xfId="183" xr:uid="{00000000-0005-0000-0000-000079000000}"/>
    <cellStyle name="표준 6 3 3 2 2 2" xfId="402" xr:uid="{00000000-0005-0000-0000-000079000000}"/>
    <cellStyle name="표준 6 3 3 2 2 2 2" xfId="840" xr:uid="{00000000-0005-0000-0000-000079000000}"/>
    <cellStyle name="표준 6 3 3 2 2 3" xfId="621" xr:uid="{00000000-0005-0000-0000-000079000000}"/>
    <cellStyle name="표준 6 3 3 2 3" xfId="310" xr:uid="{00000000-0005-0000-0000-000078000000}"/>
    <cellStyle name="표준 6 3 3 2 3 2" xfId="748" xr:uid="{00000000-0005-0000-0000-000078000000}"/>
    <cellStyle name="표준 6 3 3 2 4" xfId="529" xr:uid="{00000000-0005-0000-0000-000078000000}"/>
    <cellStyle name="표준 6 3 3 3" xfId="137" xr:uid="{00000000-0005-0000-0000-00007A000000}"/>
    <cellStyle name="표준 6 3 3 3 2" xfId="356" xr:uid="{00000000-0005-0000-0000-00007A000000}"/>
    <cellStyle name="표준 6 3 3 3 2 2" xfId="794" xr:uid="{00000000-0005-0000-0000-00007A000000}"/>
    <cellStyle name="표준 6 3 3 3 3" xfId="575" xr:uid="{00000000-0005-0000-0000-00007A000000}"/>
    <cellStyle name="표준 6 3 3 4" xfId="262" xr:uid="{00000000-0005-0000-0000-000077000000}"/>
    <cellStyle name="표준 6 3 3 4 2" xfId="700" xr:uid="{00000000-0005-0000-0000-000077000000}"/>
    <cellStyle name="표준 6 3 3 5" xfId="481" xr:uid="{00000000-0005-0000-0000-000077000000}"/>
    <cellStyle name="표준 6 3 3 6" xfId="913" xr:uid="{00000000-0005-0000-0000-000020000000}"/>
    <cellStyle name="표준 6 3 4" xfId="71" xr:uid="{00000000-0005-0000-0000-00007B000000}"/>
    <cellStyle name="표준 6 3 4 2" xfId="160" xr:uid="{00000000-0005-0000-0000-00007C000000}"/>
    <cellStyle name="표준 6 3 4 2 2" xfId="379" xr:uid="{00000000-0005-0000-0000-00007C000000}"/>
    <cellStyle name="표준 6 3 4 2 2 2" xfId="817" xr:uid="{00000000-0005-0000-0000-00007C000000}"/>
    <cellStyle name="표준 6 3 4 2 3" xfId="598" xr:uid="{00000000-0005-0000-0000-00007C000000}"/>
    <cellStyle name="표준 6 3 4 3" xfId="290" xr:uid="{00000000-0005-0000-0000-00007B000000}"/>
    <cellStyle name="표준 6 3 4 3 2" xfId="728" xr:uid="{00000000-0005-0000-0000-00007B000000}"/>
    <cellStyle name="표준 6 3 4 4" xfId="509" xr:uid="{00000000-0005-0000-0000-00007B000000}"/>
    <cellStyle name="표준 6 3 5" xfId="114" xr:uid="{00000000-0005-0000-0000-00007D000000}"/>
    <cellStyle name="표준 6 3 5 2" xfId="333" xr:uid="{00000000-0005-0000-0000-00007D000000}"/>
    <cellStyle name="표준 6 3 5 2 2" xfId="771" xr:uid="{00000000-0005-0000-0000-00007D000000}"/>
    <cellStyle name="표준 6 3 5 3" xfId="552" xr:uid="{00000000-0005-0000-0000-00007D000000}"/>
    <cellStyle name="표준 6 3 6" xfId="214" xr:uid="{00000000-0005-0000-0000-00007E000000}"/>
    <cellStyle name="표준 6 3 6 2" xfId="433" xr:uid="{00000000-0005-0000-0000-00007E000000}"/>
    <cellStyle name="표준 6 3 6 2 2" xfId="871" xr:uid="{00000000-0005-0000-0000-00007E000000}"/>
    <cellStyle name="표준 6 3 6 3" xfId="652" xr:uid="{00000000-0005-0000-0000-00007E000000}"/>
    <cellStyle name="표준 6 3 7" xfId="239" xr:uid="{00000000-0005-0000-0000-00006E000000}"/>
    <cellStyle name="표준 6 3 7 2" xfId="677" xr:uid="{00000000-0005-0000-0000-00006E000000}"/>
    <cellStyle name="표준 6 3 8" xfId="458" xr:uid="{00000000-0005-0000-0000-00006E000000}"/>
    <cellStyle name="표준 6 3 9" xfId="890" xr:uid="{00000000-0005-0000-0000-00001D000000}"/>
    <cellStyle name="표준 6 4" xfId="25" xr:uid="{00000000-0005-0000-0000-00007F000000}"/>
    <cellStyle name="표준 6 4 2" xfId="49" xr:uid="{00000000-0005-0000-0000-000080000000}"/>
    <cellStyle name="표준 6 4 2 2" xfId="98" xr:uid="{00000000-0005-0000-0000-000081000000}"/>
    <cellStyle name="표준 6 4 2 2 2" xfId="190" xr:uid="{00000000-0005-0000-0000-000082000000}"/>
    <cellStyle name="표준 6 4 2 2 2 2" xfId="409" xr:uid="{00000000-0005-0000-0000-000082000000}"/>
    <cellStyle name="표준 6 4 2 2 2 2 2" xfId="847" xr:uid="{00000000-0005-0000-0000-000082000000}"/>
    <cellStyle name="표준 6 4 2 2 2 3" xfId="628" xr:uid="{00000000-0005-0000-0000-000082000000}"/>
    <cellStyle name="표준 6 4 2 2 3" xfId="317" xr:uid="{00000000-0005-0000-0000-000081000000}"/>
    <cellStyle name="표준 6 4 2 2 3 2" xfId="755" xr:uid="{00000000-0005-0000-0000-000081000000}"/>
    <cellStyle name="표준 6 4 2 2 4" xfId="536" xr:uid="{00000000-0005-0000-0000-000081000000}"/>
    <cellStyle name="표준 6 4 2 3" xfId="144" xr:uid="{00000000-0005-0000-0000-000083000000}"/>
    <cellStyle name="표준 6 4 2 3 2" xfId="363" xr:uid="{00000000-0005-0000-0000-000083000000}"/>
    <cellStyle name="표준 6 4 2 3 2 2" xfId="801" xr:uid="{00000000-0005-0000-0000-000083000000}"/>
    <cellStyle name="표준 6 4 2 3 3" xfId="582" xr:uid="{00000000-0005-0000-0000-000083000000}"/>
    <cellStyle name="표준 6 4 2 4" xfId="269" xr:uid="{00000000-0005-0000-0000-000080000000}"/>
    <cellStyle name="표준 6 4 2 4 2" xfId="707" xr:uid="{00000000-0005-0000-0000-000080000000}"/>
    <cellStyle name="표준 6 4 2 5" xfId="488" xr:uid="{00000000-0005-0000-0000-000080000000}"/>
    <cellStyle name="표준 6 4 2 6" xfId="920" xr:uid="{00000000-0005-0000-0000-000022000000}"/>
    <cellStyle name="표준 6 4 3" xfId="75" xr:uid="{00000000-0005-0000-0000-000084000000}"/>
    <cellStyle name="표준 6 4 3 2" xfId="167" xr:uid="{00000000-0005-0000-0000-000085000000}"/>
    <cellStyle name="표준 6 4 3 2 2" xfId="386" xr:uid="{00000000-0005-0000-0000-000085000000}"/>
    <cellStyle name="표준 6 4 3 2 2 2" xfId="824" xr:uid="{00000000-0005-0000-0000-000085000000}"/>
    <cellStyle name="표준 6 4 3 2 3" xfId="605" xr:uid="{00000000-0005-0000-0000-000085000000}"/>
    <cellStyle name="표준 6 4 3 3" xfId="294" xr:uid="{00000000-0005-0000-0000-000084000000}"/>
    <cellStyle name="표준 6 4 3 3 2" xfId="732" xr:uid="{00000000-0005-0000-0000-000084000000}"/>
    <cellStyle name="표준 6 4 3 4" xfId="513" xr:uid="{00000000-0005-0000-0000-000084000000}"/>
    <cellStyle name="표준 6 4 4" xfId="121" xr:uid="{00000000-0005-0000-0000-000086000000}"/>
    <cellStyle name="표준 6 4 4 2" xfId="340" xr:uid="{00000000-0005-0000-0000-000086000000}"/>
    <cellStyle name="표준 6 4 4 2 2" xfId="778" xr:uid="{00000000-0005-0000-0000-000086000000}"/>
    <cellStyle name="표준 6 4 4 3" xfId="559" xr:uid="{00000000-0005-0000-0000-000086000000}"/>
    <cellStyle name="표준 6 4 5" xfId="246" xr:uid="{00000000-0005-0000-0000-00007F000000}"/>
    <cellStyle name="표준 6 4 5 2" xfId="684" xr:uid="{00000000-0005-0000-0000-00007F000000}"/>
    <cellStyle name="표준 6 4 6" xfId="465" xr:uid="{00000000-0005-0000-0000-00007F000000}"/>
    <cellStyle name="표준 6 4 7" xfId="897" xr:uid="{00000000-0005-0000-0000-000021000000}"/>
    <cellStyle name="표준 6 5" xfId="38" xr:uid="{00000000-0005-0000-0000-000087000000}"/>
    <cellStyle name="표준 6 5 2" xfId="87" xr:uid="{00000000-0005-0000-0000-000088000000}"/>
    <cellStyle name="표준 6 5 2 2" xfId="179" xr:uid="{00000000-0005-0000-0000-000089000000}"/>
    <cellStyle name="표준 6 5 2 2 2" xfId="398" xr:uid="{00000000-0005-0000-0000-000089000000}"/>
    <cellStyle name="표준 6 5 2 2 2 2" xfId="836" xr:uid="{00000000-0005-0000-0000-000089000000}"/>
    <cellStyle name="표준 6 5 2 2 3" xfId="617" xr:uid="{00000000-0005-0000-0000-000089000000}"/>
    <cellStyle name="표준 6 5 2 3" xfId="306" xr:uid="{00000000-0005-0000-0000-000088000000}"/>
    <cellStyle name="표준 6 5 2 3 2" xfId="744" xr:uid="{00000000-0005-0000-0000-000088000000}"/>
    <cellStyle name="표준 6 5 2 4" xfId="525" xr:uid="{00000000-0005-0000-0000-000088000000}"/>
    <cellStyle name="표준 6 5 3" xfId="133" xr:uid="{00000000-0005-0000-0000-00008A000000}"/>
    <cellStyle name="표준 6 5 3 2" xfId="352" xr:uid="{00000000-0005-0000-0000-00008A000000}"/>
    <cellStyle name="표준 6 5 3 2 2" xfId="790" xr:uid="{00000000-0005-0000-0000-00008A000000}"/>
    <cellStyle name="표준 6 5 3 3" xfId="571" xr:uid="{00000000-0005-0000-0000-00008A000000}"/>
    <cellStyle name="표준 6 5 4" xfId="258" xr:uid="{00000000-0005-0000-0000-000087000000}"/>
    <cellStyle name="표준 6 5 4 2" xfId="696" xr:uid="{00000000-0005-0000-0000-000087000000}"/>
    <cellStyle name="표준 6 5 5" xfId="477" xr:uid="{00000000-0005-0000-0000-000087000000}"/>
    <cellStyle name="표준 6 5 6" xfId="909" xr:uid="{00000000-0005-0000-0000-000023000000}"/>
    <cellStyle name="표준 6 6" xfId="62" xr:uid="{00000000-0005-0000-0000-00008B000000}"/>
    <cellStyle name="표준 6 6 2" xfId="202" xr:uid="{00000000-0005-0000-0000-00008C000000}"/>
    <cellStyle name="표준 6 6 2 2" xfId="421" xr:uid="{00000000-0005-0000-0000-00008C000000}"/>
    <cellStyle name="표준 6 6 2 2 2" xfId="859" xr:uid="{00000000-0005-0000-0000-00008C000000}"/>
    <cellStyle name="표준 6 6 2 3" xfId="640" xr:uid="{00000000-0005-0000-0000-00008C000000}"/>
    <cellStyle name="표준 6 6 3" xfId="221" xr:uid="{00000000-0005-0000-0000-00008D000000}"/>
    <cellStyle name="표준 6 6 3 2" xfId="440" xr:uid="{00000000-0005-0000-0000-00008D000000}"/>
    <cellStyle name="표준 6 6 3 2 2" xfId="878" xr:uid="{00000000-0005-0000-0000-00008D000000}"/>
    <cellStyle name="표준 6 6 3 3" xfId="659" xr:uid="{00000000-0005-0000-0000-00008D000000}"/>
    <cellStyle name="표준 6 6 4" xfId="281" xr:uid="{00000000-0005-0000-0000-00008B000000}"/>
    <cellStyle name="표준 6 6 4 2" xfId="719" xr:uid="{00000000-0005-0000-0000-00008B000000}"/>
    <cellStyle name="표준 6 6 5" xfId="500" xr:uid="{00000000-0005-0000-0000-00008B000000}"/>
    <cellStyle name="표준 6 7" xfId="13" xr:uid="{00000000-0005-0000-0000-00008E000000}"/>
    <cellStyle name="표준 6 7 2" xfId="156" xr:uid="{00000000-0005-0000-0000-00008F000000}"/>
    <cellStyle name="표준 6 7 2 2" xfId="375" xr:uid="{00000000-0005-0000-0000-00008F000000}"/>
    <cellStyle name="표준 6 7 2 2 2" xfId="813" xr:uid="{00000000-0005-0000-0000-00008F000000}"/>
    <cellStyle name="표준 6 7 2 3" xfId="594" xr:uid="{00000000-0005-0000-0000-00008F000000}"/>
    <cellStyle name="표준 6 7 3" xfId="235" xr:uid="{00000000-0005-0000-0000-00008E000000}"/>
    <cellStyle name="표준 6 7 3 2" xfId="673" xr:uid="{00000000-0005-0000-0000-00008E000000}"/>
    <cellStyle name="표준 6 7 4" xfId="454" xr:uid="{00000000-0005-0000-0000-00008E000000}"/>
    <cellStyle name="표준 6 8" xfId="110" xr:uid="{00000000-0005-0000-0000-000090000000}"/>
    <cellStyle name="표준 6 8 2" xfId="329" xr:uid="{00000000-0005-0000-0000-000090000000}"/>
    <cellStyle name="표준 6 8 2 2" xfId="767" xr:uid="{00000000-0005-0000-0000-000090000000}"/>
    <cellStyle name="표준 6 8 3" xfId="548" xr:uid="{00000000-0005-0000-0000-000090000000}"/>
    <cellStyle name="표준 6 9" xfId="210" xr:uid="{00000000-0005-0000-0000-000091000000}"/>
    <cellStyle name="표준 6 9 2" xfId="429" xr:uid="{00000000-0005-0000-0000-000091000000}"/>
    <cellStyle name="표준 6 9 2 2" xfId="867" xr:uid="{00000000-0005-0000-0000-000091000000}"/>
    <cellStyle name="표준 6 9 3" xfId="648" xr:uid="{00000000-0005-0000-0000-000091000000}"/>
    <cellStyle name="표준 7" xfId="7" xr:uid="{00000000-0005-0000-0000-000092000000}"/>
    <cellStyle name="표준 7 10" xfId="230" xr:uid="{00000000-0005-0000-0000-000092000000}"/>
    <cellStyle name="표준 7 10 2" xfId="668" xr:uid="{00000000-0005-0000-0000-000092000000}"/>
    <cellStyle name="표준 7 11" xfId="449" xr:uid="{00000000-0005-0000-0000-000092000000}"/>
    <cellStyle name="표준 7 12" xfId="887" xr:uid="{00000000-0005-0000-0000-000024000000}"/>
    <cellStyle name="표준 7 13" xfId="933" xr:uid="{00000000-0005-0000-0000-00000B000000}"/>
    <cellStyle name="표준 7 2" xfId="11" xr:uid="{00000000-0005-0000-0000-000093000000}"/>
    <cellStyle name="표준 7 2 10" xfId="894" xr:uid="{00000000-0005-0000-0000-000025000000}"/>
    <cellStyle name="표준 7 2 11" xfId="936" xr:uid="{00000000-0005-0000-0000-00000C000000}"/>
    <cellStyle name="표준 7 2 2" xfId="33" xr:uid="{00000000-0005-0000-0000-000094000000}"/>
    <cellStyle name="표준 7 2 2 2" xfId="57" xr:uid="{00000000-0005-0000-0000-000095000000}"/>
    <cellStyle name="표준 7 2 2 2 2" xfId="106" xr:uid="{00000000-0005-0000-0000-000096000000}"/>
    <cellStyle name="표준 7 2 2 2 2 2" xfId="198" xr:uid="{00000000-0005-0000-0000-000097000000}"/>
    <cellStyle name="표준 7 2 2 2 2 2 2" xfId="417" xr:uid="{00000000-0005-0000-0000-000097000000}"/>
    <cellStyle name="표준 7 2 2 2 2 2 2 2" xfId="855" xr:uid="{00000000-0005-0000-0000-000097000000}"/>
    <cellStyle name="표준 7 2 2 2 2 2 3" xfId="636" xr:uid="{00000000-0005-0000-0000-000097000000}"/>
    <cellStyle name="표준 7 2 2 2 2 3" xfId="325" xr:uid="{00000000-0005-0000-0000-000096000000}"/>
    <cellStyle name="표준 7 2 2 2 2 3 2" xfId="763" xr:uid="{00000000-0005-0000-0000-000096000000}"/>
    <cellStyle name="표준 7 2 2 2 2 4" xfId="544" xr:uid="{00000000-0005-0000-0000-000096000000}"/>
    <cellStyle name="표준 7 2 2 2 3" xfId="152" xr:uid="{00000000-0005-0000-0000-000098000000}"/>
    <cellStyle name="표준 7 2 2 2 3 2" xfId="371" xr:uid="{00000000-0005-0000-0000-000098000000}"/>
    <cellStyle name="표준 7 2 2 2 3 2 2" xfId="809" xr:uid="{00000000-0005-0000-0000-000098000000}"/>
    <cellStyle name="표준 7 2 2 2 3 3" xfId="590" xr:uid="{00000000-0005-0000-0000-000098000000}"/>
    <cellStyle name="표준 7 2 2 2 4" xfId="277" xr:uid="{00000000-0005-0000-0000-000095000000}"/>
    <cellStyle name="표준 7 2 2 2 4 2" xfId="715" xr:uid="{00000000-0005-0000-0000-000095000000}"/>
    <cellStyle name="표준 7 2 2 2 5" xfId="496" xr:uid="{00000000-0005-0000-0000-000095000000}"/>
    <cellStyle name="표준 7 2 2 2 6" xfId="928" xr:uid="{00000000-0005-0000-0000-000027000000}"/>
    <cellStyle name="표준 7 2 2 3" xfId="83" xr:uid="{00000000-0005-0000-0000-000099000000}"/>
    <cellStyle name="표준 7 2 2 3 2" xfId="175" xr:uid="{00000000-0005-0000-0000-00009A000000}"/>
    <cellStyle name="표준 7 2 2 3 2 2" xfId="394" xr:uid="{00000000-0005-0000-0000-00009A000000}"/>
    <cellStyle name="표준 7 2 2 3 2 2 2" xfId="832" xr:uid="{00000000-0005-0000-0000-00009A000000}"/>
    <cellStyle name="표준 7 2 2 3 2 3" xfId="613" xr:uid="{00000000-0005-0000-0000-00009A000000}"/>
    <cellStyle name="표준 7 2 2 3 3" xfId="302" xr:uid="{00000000-0005-0000-0000-000099000000}"/>
    <cellStyle name="표준 7 2 2 3 3 2" xfId="740" xr:uid="{00000000-0005-0000-0000-000099000000}"/>
    <cellStyle name="표준 7 2 2 3 4" xfId="521" xr:uid="{00000000-0005-0000-0000-000099000000}"/>
    <cellStyle name="표준 7 2 2 4" xfId="129" xr:uid="{00000000-0005-0000-0000-00009B000000}"/>
    <cellStyle name="표준 7 2 2 4 2" xfId="348" xr:uid="{00000000-0005-0000-0000-00009B000000}"/>
    <cellStyle name="표준 7 2 2 4 2 2" xfId="786" xr:uid="{00000000-0005-0000-0000-00009B000000}"/>
    <cellStyle name="표준 7 2 2 4 3" xfId="567" xr:uid="{00000000-0005-0000-0000-00009B000000}"/>
    <cellStyle name="표준 7 2 2 5" xfId="254" xr:uid="{00000000-0005-0000-0000-000094000000}"/>
    <cellStyle name="표준 7 2 2 5 2" xfId="692" xr:uid="{00000000-0005-0000-0000-000094000000}"/>
    <cellStyle name="표준 7 2 2 6" xfId="473" xr:uid="{00000000-0005-0000-0000-000094000000}"/>
    <cellStyle name="표준 7 2 2 7" xfId="905" xr:uid="{00000000-0005-0000-0000-000026000000}"/>
    <cellStyle name="표준 7 2 3" xfId="46" xr:uid="{00000000-0005-0000-0000-00009C000000}"/>
    <cellStyle name="표준 7 2 3 2" xfId="95" xr:uid="{00000000-0005-0000-0000-00009D000000}"/>
    <cellStyle name="표준 7 2 3 2 2" xfId="187" xr:uid="{00000000-0005-0000-0000-00009E000000}"/>
    <cellStyle name="표준 7 2 3 2 2 2" xfId="406" xr:uid="{00000000-0005-0000-0000-00009E000000}"/>
    <cellStyle name="표준 7 2 3 2 2 2 2" xfId="844" xr:uid="{00000000-0005-0000-0000-00009E000000}"/>
    <cellStyle name="표준 7 2 3 2 2 3" xfId="625" xr:uid="{00000000-0005-0000-0000-00009E000000}"/>
    <cellStyle name="표준 7 2 3 2 3" xfId="314" xr:uid="{00000000-0005-0000-0000-00009D000000}"/>
    <cellStyle name="표준 7 2 3 2 3 2" xfId="752" xr:uid="{00000000-0005-0000-0000-00009D000000}"/>
    <cellStyle name="표준 7 2 3 2 4" xfId="533" xr:uid="{00000000-0005-0000-0000-00009D000000}"/>
    <cellStyle name="표준 7 2 3 3" xfId="141" xr:uid="{00000000-0005-0000-0000-00009F000000}"/>
    <cellStyle name="표준 7 2 3 3 2" xfId="360" xr:uid="{00000000-0005-0000-0000-00009F000000}"/>
    <cellStyle name="표준 7 2 3 3 2 2" xfId="798" xr:uid="{00000000-0005-0000-0000-00009F000000}"/>
    <cellStyle name="표준 7 2 3 3 3" xfId="579" xr:uid="{00000000-0005-0000-0000-00009F000000}"/>
    <cellStyle name="표준 7 2 3 4" xfId="266" xr:uid="{00000000-0005-0000-0000-00009C000000}"/>
    <cellStyle name="표준 7 2 3 4 2" xfId="704" xr:uid="{00000000-0005-0000-0000-00009C000000}"/>
    <cellStyle name="표준 7 2 3 5" xfId="485" xr:uid="{00000000-0005-0000-0000-00009C000000}"/>
    <cellStyle name="표준 7 2 3 6" xfId="917" xr:uid="{00000000-0005-0000-0000-000028000000}"/>
    <cellStyle name="표준 7 2 4" xfId="66" xr:uid="{00000000-0005-0000-0000-0000A0000000}"/>
    <cellStyle name="표준 7 2 4 2" xfId="206" xr:uid="{00000000-0005-0000-0000-0000A1000000}"/>
    <cellStyle name="표준 7 2 4 2 2" xfId="425" xr:uid="{00000000-0005-0000-0000-0000A1000000}"/>
    <cellStyle name="표준 7 2 4 2 2 2" xfId="863" xr:uid="{00000000-0005-0000-0000-0000A1000000}"/>
    <cellStyle name="표준 7 2 4 2 3" xfId="644" xr:uid="{00000000-0005-0000-0000-0000A1000000}"/>
    <cellStyle name="표준 7 2 4 3" xfId="225" xr:uid="{00000000-0005-0000-0000-0000A2000000}"/>
    <cellStyle name="표준 7 2 4 3 2" xfId="444" xr:uid="{00000000-0005-0000-0000-0000A2000000}"/>
    <cellStyle name="표준 7 2 4 3 2 2" xfId="882" xr:uid="{00000000-0005-0000-0000-0000A2000000}"/>
    <cellStyle name="표준 7 2 4 3 3" xfId="663" xr:uid="{00000000-0005-0000-0000-0000A2000000}"/>
    <cellStyle name="표준 7 2 4 4" xfId="285" xr:uid="{00000000-0005-0000-0000-0000A0000000}"/>
    <cellStyle name="표준 7 2 4 4 2" xfId="723" xr:uid="{00000000-0005-0000-0000-0000A0000000}"/>
    <cellStyle name="표준 7 2 4 5" xfId="504" xr:uid="{00000000-0005-0000-0000-0000A0000000}"/>
    <cellStyle name="표준 7 2 5" xfId="22" xr:uid="{00000000-0005-0000-0000-0000A3000000}"/>
    <cellStyle name="표준 7 2 5 2" xfId="164" xr:uid="{00000000-0005-0000-0000-0000A4000000}"/>
    <cellStyle name="표준 7 2 5 2 2" xfId="383" xr:uid="{00000000-0005-0000-0000-0000A4000000}"/>
    <cellStyle name="표준 7 2 5 2 2 2" xfId="821" xr:uid="{00000000-0005-0000-0000-0000A4000000}"/>
    <cellStyle name="표준 7 2 5 2 3" xfId="602" xr:uid="{00000000-0005-0000-0000-0000A4000000}"/>
    <cellStyle name="표준 7 2 5 3" xfId="243" xr:uid="{00000000-0005-0000-0000-0000A3000000}"/>
    <cellStyle name="표준 7 2 5 3 2" xfId="681" xr:uid="{00000000-0005-0000-0000-0000A3000000}"/>
    <cellStyle name="표준 7 2 5 4" xfId="462" xr:uid="{00000000-0005-0000-0000-0000A3000000}"/>
    <cellStyle name="표준 7 2 6" xfId="118" xr:uid="{00000000-0005-0000-0000-0000A5000000}"/>
    <cellStyle name="표준 7 2 6 2" xfId="337" xr:uid="{00000000-0005-0000-0000-0000A5000000}"/>
    <cellStyle name="표준 7 2 6 2 2" xfId="775" xr:uid="{00000000-0005-0000-0000-0000A5000000}"/>
    <cellStyle name="표준 7 2 6 3" xfId="556" xr:uid="{00000000-0005-0000-0000-0000A5000000}"/>
    <cellStyle name="표준 7 2 7" xfId="218" xr:uid="{00000000-0005-0000-0000-0000A6000000}"/>
    <cellStyle name="표준 7 2 7 2" xfId="437" xr:uid="{00000000-0005-0000-0000-0000A6000000}"/>
    <cellStyle name="표준 7 2 7 2 2" xfId="875" xr:uid="{00000000-0005-0000-0000-0000A6000000}"/>
    <cellStyle name="표준 7 2 7 3" xfId="656" xr:uid="{00000000-0005-0000-0000-0000A6000000}"/>
    <cellStyle name="표준 7 2 8" xfId="233" xr:uid="{00000000-0005-0000-0000-000093000000}"/>
    <cellStyle name="표준 7 2 8 2" xfId="671" xr:uid="{00000000-0005-0000-0000-000093000000}"/>
    <cellStyle name="표준 7 2 9" xfId="452" xr:uid="{00000000-0005-0000-0000-000093000000}"/>
    <cellStyle name="표준 7 3" xfId="19" xr:uid="{00000000-0005-0000-0000-0000A7000000}"/>
    <cellStyle name="표준 7 3 2" xfId="30" xr:uid="{00000000-0005-0000-0000-0000A8000000}"/>
    <cellStyle name="표준 7 3 2 2" xfId="54" xr:uid="{00000000-0005-0000-0000-0000A9000000}"/>
    <cellStyle name="표준 7 3 2 2 2" xfId="103" xr:uid="{00000000-0005-0000-0000-0000AA000000}"/>
    <cellStyle name="표준 7 3 2 2 2 2" xfId="195" xr:uid="{00000000-0005-0000-0000-0000AB000000}"/>
    <cellStyle name="표준 7 3 2 2 2 2 2" xfId="414" xr:uid="{00000000-0005-0000-0000-0000AB000000}"/>
    <cellStyle name="표준 7 3 2 2 2 2 2 2" xfId="852" xr:uid="{00000000-0005-0000-0000-0000AB000000}"/>
    <cellStyle name="표준 7 3 2 2 2 2 3" xfId="633" xr:uid="{00000000-0005-0000-0000-0000AB000000}"/>
    <cellStyle name="표준 7 3 2 2 2 3" xfId="322" xr:uid="{00000000-0005-0000-0000-0000AA000000}"/>
    <cellStyle name="표준 7 3 2 2 2 3 2" xfId="760" xr:uid="{00000000-0005-0000-0000-0000AA000000}"/>
    <cellStyle name="표준 7 3 2 2 2 4" xfId="541" xr:uid="{00000000-0005-0000-0000-0000AA000000}"/>
    <cellStyle name="표준 7 3 2 2 3" xfId="149" xr:uid="{00000000-0005-0000-0000-0000AC000000}"/>
    <cellStyle name="표준 7 3 2 2 3 2" xfId="368" xr:uid="{00000000-0005-0000-0000-0000AC000000}"/>
    <cellStyle name="표준 7 3 2 2 3 2 2" xfId="806" xr:uid="{00000000-0005-0000-0000-0000AC000000}"/>
    <cellStyle name="표준 7 3 2 2 3 3" xfId="587" xr:uid="{00000000-0005-0000-0000-0000AC000000}"/>
    <cellStyle name="표준 7 3 2 2 4" xfId="274" xr:uid="{00000000-0005-0000-0000-0000A9000000}"/>
    <cellStyle name="표준 7 3 2 2 4 2" xfId="712" xr:uid="{00000000-0005-0000-0000-0000A9000000}"/>
    <cellStyle name="표준 7 3 2 2 5" xfId="493" xr:uid="{00000000-0005-0000-0000-0000A9000000}"/>
    <cellStyle name="표준 7 3 2 2 6" xfId="925" xr:uid="{00000000-0005-0000-0000-00002B000000}"/>
    <cellStyle name="표준 7 3 2 3" xfId="80" xr:uid="{00000000-0005-0000-0000-0000AD000000}"/>
    <cellStyle name="표준 7 3 2 3 2" xfId="172" xr:uid="{00000000-0005-0000-0000-0000AE000000}"/>
    <cellStyle name="표준 7 3 2 3 2 2" xfId="391" xr:uid="{00000000-0005-0000-0000-0000AE000000}"/>
    <cellStyle name="표준 7 3 2 3 2 2 2" xfId="829" xr:uid="{00000000-0005-0000-0000-0000AE000000}"/>
    <cellStyle name="표준 7 3 2 3 2 3" xfId="610" xr:uid="{00000000-0005-0000-0000-0000AE000000}"/>
    <cellStyle name="표준 7 3 2 3 3" xfId="299" xr:uid="{00000000-0005-0000-0000-0000AD000000}"/>
    <cellStyle name="표준 7 3 2 3 3 2" xfId="737" xr:uid="{00000000-0005-0000-0000-0000AD000000}"/>
    <cellStyle name="표준 7 3 2 3 4" xfId="518" xr:uid="{00000000-0005-0000-0000-0000AD000000}"/>
    <cellStyle name="표준 7 3 2 4" xfId="126" xr:uid="{00000000-0005-0000-0000-0000AF000000}"/>
    <cellStyle name="표준 7 3 2 4 2" xfId="345" xr:uid="{00000000-0005-0000-0000-0000AF000000}"/>
    <cellStyle name="표준 7 3 2 4 2 2" xfId="783" xr:uid="{00000000-0005-0000-0000-0000AF000000}"/>
    <cellStyle name="표준 7 3 2 4 3" xfId="564" xr:uid="{00000000-0005-0000-0000-0000AF000000}"/>
    <cellStyle name="표준 7 3 2 5" xfId="251" xr:uid="{00000000-0005-0000-0000-0000A8000000}"/>
    <cellStyle name="표준 7 3 2 5 2" xfId="689" xr:uid="{00000000-0005-0000-0000-0000A8000000}"/>
    <cellStyle name="표준 7 3 2 6" xfId="470" xr:uid="{00000000-0005-0000-0000-0000A8000000}"/>
    <cellStyle name="표준 7 3 2 7" xfId="902" xr:uid="{00000000-0005-0000-0000-00002A000000}"/>
    <cellStyle name="표준 7 3 3" xfId="43" xr:uid="{00000000-0005-0000-0000-0000B0000000}"/>
    <cellStyle name="표준 7 3 3 2" xfId="92" xr:uid="{00000000-0005-0000-0000-0000B1000000}"/>
    <cellStyle name="표준 7 3 3 2 2" xfId="184" xr:uid="{00000000-0005-0000-0000-0000B2000000}"/>
    <cellStyle name="표준 7 3 3 2 2 2" xfId="403" xr:uid="{00000000-0005-0000-0000-0000B2000000}"/>
    <cellStyle name="표준 7 3 3 2 2 2 2" xfId="841" xr:uid="{00000000-0005-0000-0000-0000B2000000}"/>
    <cellStyle name="표준 7 3 3 2 2 3" xfId="622" xr:uid="{00000000-0005-0000-0000-0000B2000000}"/>
    <cellStyle name="표준 7 3 3 2 3" xfId="311" xr:uid="{00000000-0005-0000-0000-0000B1000000}"/>
    <cellStyle name="표준 7 3 3 2 3 2" xfId="749" xr:uid="{00000000-0005-0000-0000-0000B1000000}"/>
    <cellStyle name="표준 7 3 3 2 4" xfId="530" xr:uid="{00000000-0005-0000-0000-0000B1000000}"/>
    <cellStyle name="표준 7 3 3 3" xfId="138" xr:uid="{00000000-0005-0000-0000-0000B3000000}"/>
    <cellStyle name="표준 7 3 3 3 2" xfId="357" xr:uid="{00000000-0005-0000-0000-0000B3000000}"/>
    <cellStyle name="표준 7 3 3 3 2 2" xfId="795" xr:uid="{00000000-0005-0000-0000-0000B3000000}"/>
    <cellStyle name="표준 7 3 3 3 3" xfId="576" xr:uid="{00000000-0005-0000-0000-0000B3000000}"/>
    <cellStyle name="표준 7 3 3 4" xfId="263" xr:uid="{00000000-0005-0000-0000-0000B0000000}"/>
    <cellStyle name="표준 7 3 3 4 2" xfId="701" xr:uid="{00000000-0005-0000-0000-0000B0000000}"/>
    <cellStyle name="표준 7 3 3 5" xfId="482" xr:uid="{00000000-0005-0000-0000-0000B0000000}"/>
    <cellStyle name="표준 7 3 3 6" xfId="914" xr:uid="{00000000-0005-0000-0000-00002C000000}"/>
    <cellStyle name="표준 7 3 4" xfId="72" xr:uid="{00000000-0005-0000-0000-0000B4000000}"/>
    <cellStyle name="표준 7 3 4 2" xfId="161" xr:uid="{00000000-0005-0000-0000-0000B5000000}"/>
    <cellStyle name="표준 7 3 4 2 2" xfId="380" xr:uid="{00000000-0005-0000-0000-0000B5000000}"/>
    <cellStyle name="표준 7 3 4 2 2 2" xfId="818" xr:uid="{00000000-0005-0000-0000-0000B5000000}"/>
    <cellStyle name="표준 7 3 4 2 3" xfId="599" xr:uid="{00000000-0005-0000-0000-0000B5000000}"/>
    <cellStyle name="표준 7 3 4 3" xfId="291" xr:uid="{00000000-0005-0000-0000-0000B4000000}"/>
    <cellStyle name="표준 7 3 4 3 2" xfId="729" xr:uid="{00000000-0005-0000-0000-0000B4000000}"/>
    <cellStyle name="표준 7 3 4 4" xfId="510" xr:uid="{00000000-0005-0000-0000-0000B4000000}"/>
    <cellStyle name="표준 7 3 5" xfId="115" xr:uid="{00000000-0005-0000-0000-0000B6000000}"/>
    <cellStyle name="표준 7 3 5 2" xfId="334" xr:uid="{00000000-0005-0000-0000-0000B6000000}"/>
    <cellStyle name="표준 7 3 5 2 2" xfId="772" xr:uid="{00000000-0005-0000-0000-0000B6000000}"/>
    <cellStyle name="표준 7 3 5 3" xfId="553" xr:uid="{00000000-0005-0000-0000-0000B6000000}"/>
    <cellStyle name="표준 7 3 6" xfId="215" xr:uid="{00000000-0005-0000-0000-0000B7000000}"/>
    <cellStyle name="표준 7 3 6 2" xfId="434" xr:uid="{00000000-0005-0000-0000-0000B7000000}"/>
    <cellStyle name="표준 7 3 6 2 2" xfId="872" xr:uid="{00000000-0005-0000-0000-0000B7000000}"/>
    <cellStyle name="표준 7 3 6 3" xfId="653" xr:uid="{00000000-0005-0000-0000-0000B7000000}"/>
    <cellStyle name="표준 7 3 7" xfId="240" xr:uid="{00000000-0005-0000-0000-0000A7000000}"/>
    <cellStyle name="표준 7 3 7 2" xfId="678" xr:uid="{00000000-0005-0000-0000-0000A7000000}"/>
    <cellStyle name="표준 7 3 8" xfId="459" xr:uid="{00000000-0005-0000-0000-0000A7000000}"/>
    <cellStyle name="표준 7 3 9" xfId="891" xr:uid="{00000000-0005-0000-0000-000029000000}"/>
    <cellStyle name="표준 7 4" xfId="26" xr:uid="{00000000-0005-0000-0000-0000B8000000}"/>
    <cellStyle name="표준 7 4 2" xfId="50" xr:uid="{00000000-0005-0000-0000-0000B9000000}"/>
    <cellStyle name="표준 7 4 2 2" xfId="99" xr:uid="{00000000-0005-0000-0000-0000BA000000}"/>
    <cellStyle name="표준 7 4 2 2 2" xfId="191" xr:uid="{00000000-0005-0000-0000-0000BB000000}"/>
    <cellStyle name="표준 7 4 2 2 2 2" xfId="410" xr:uid="{00000000-0005-0000-0000-0000BB000000}"/>
    <cellStyle name="표준 7 4 2 2 2 2 2" xfId="848" xr:uid="{00000000-0005-0000-0000-0000BB000000}"/>
    <cellStyle name="표준 7 4 2 2 2 3" xfId="629" xr:uid="{00000000-0005-0000-0000-0000BB000000}"/>
    <cellStyle name="표준 7 4 2 2 3" xfId="318" xr:uid="{00000000-0005-0000-0000-0000BA000000}"/>
    <cellStyle name="표준 7 4 2 2 3 2" xfId="756" xr:uid="{00000000-0005-0000-0000-0000BA000000}"/>
    <cellStyle name="표준 7 4 2 2 4" xfId="537" xr:uid="{00000000-0005-0000-0000-0000BA000000}"/>
    <cellStyle name="표준 7 4 2 3" xfId="145" xr:uid="{00000000-0005-0000-0000-0000BC000000}"/>
    <cellStyle name="표준 7 4 2 3 2" xfId="364" xr:uid="{00000000-0005-0000-0000-0000BC000000}"/>
    <cellStyle name="표준 7 4 2 3 2 2" xfId="802" xr:uid="{00000000-0005-0000-0000-0000BC000000}"/>
    <cellStyle name="표준 7 4 2 3 3" xfId="583" xr:uid="{00000000-0005-0000-0000-0000BC000000}"/>
    <cellStyle name="표준 7 4 2 4" xfId="270" xr:uid="{00000000-0005-0000-0000-0000B9000000}"/>
    <cellStyle name="표준 7 4 2 4 2" xfId="708" xr:uid="{00000000-0005-0000-0000-0000B9000000}"/>
    <cellStyle name="표준 7 4 2 5" xfId="489" xr:uid="{00000000-0005-0000-0000-0000B9000000}"/>
    <cellStyle name="표준 7 4 2 6" xfId="921" xr:uid="{00000000-0005-0000-0000-00002E000000}"/>
    <cellStyle name="표준 7 4 3" xfId="76" xr:uid="{00000000-0005-0000-0000-0000BD000000}"/>
    <cellStyle name="표준 7 4 3 2" xfId="168" xr:uid="{00000000-0005-0000-0000-0000BE000000}"/>
    <cellStyle name="표준 7 4 3 2 2" xfId="387" xr:uid="{00000000-0005-0000-0000-0000BE000000}"/>
    <cellStyle name="표준 7 4 3 2 2 2" xfId="825" xr:uid="{00000000-0005-0000-0000-0000BE000000}"/>
    <cellStyle name="표준 7 4 3 2 3" xfId="606" xr:uid="{00000000-0005-0000-0000-0000BE000000}"/>
    <cellStyle name="표준 7 4 3 3" xfId="295" xr:uid="{00000000-0005-0000-0000-0000BD000000}"/>
    <cellStyle name="표준 7 4 3 3 2" xfId="733" xr:uid="{00000000-0005-0000-0000-0000BD000000}"/>
    <cellStyle name="표준 7 4 3 4" xfId="514" xr:uid="{00000000-0005-0000-0000-0000BD000000}"/>
    <cellStyle name="표준 7 4 4" xfId="122" xr:uid="{00000000-0005-0000-0000-0000BF000000}"/>
    <cellStyle name="표준 7 4 4 2" xfId="341" xr:uid="{00000000-0005-0000-0000-0000BF000000}"/>
    <cellStyle name="표준 7 4 4 2 2" xfId="779" xr:uid="{00000000-0005-0000-0000-0000BF000000}"/>
    <cellStyle name="표준 7 4 4 3" xfId="560" xr:uid="{00000000-0005-0000-0000-0000BF000000}"/>
    <cellStyle name="표준 7 4 5" xfId="247" xr:uid="{00000000-0005-0000-0000-0000B8000000}"/>
    <cellStyle name="표준 7 4 5 2" xfId="685" xr:uid="{00000000-0005-0000-0000-0000B8000000}"/>
    <cellStyle name="표준 7 4 6" xfId="466" xr:uid="{00000000-0005-0000-0000-0000B8000000}"/>
    <cellStyle name="표준 7 4 7" xfId="898" xr:uid="{00000000-0005-0000-0000-00002D000000}"/>
    <cellStyle name="표준 7 5" xfId="39" xr:uid="{00000000-0005-0000-0000-0000C0000000}"/>
    <cellStyle name="표준 7 5 2" xfId="88" xr:uid="{00000000-0005-0000-0000-0000C1000000}"/>
    <cellStyle name="표준 7 5 2 2" xfId="180" xr:uid="{00000000-0005-0000-0000-0000C2000000}"/>
    <cellStyle name="표준 7 5 2 2 2" xfId="399" xr:uid="{00000000-0005-0000-0000-0000C2000000}"/>
    <cellStyle name="표준 7 5 2 2 2 2" xfId="837" xr:uid="{00000000-0005-0000-0000-0000C2000000}"/>
    <cellStyle name="표준 7 5 2 2 3" xfId="618" xr:uid="{00000000-0005-0000-0000-0000C2000000}"/>
    <cellStyle name="표준 7 5 2 3" xfId="307" xr:uid="{00000000-0005-0000-0000-0000C1000000}"/>
    <cellStyle name="표준 7 5 2 3 2" xfId="745" xr:uid="{00000000-0005-0000-0000-0000C1000000}"/>
    <cellStyle name="표준 7 5 2 4" xfId="526" xr:uid="{00000000-0005-0000-0000-0000C1000000}"/>
    <cellStyle name="표준 7 5 3" xfId="134" xr:uid="{00000000-0005-0000-0000-0000C3000000}"/>
    <cellStyle name="표준 7 5 3 2" xfId="353" xr:uid="{00000000-0005-0000-0000-0000C3000000}"/>
    <cellStyle name="표준 7 5 3 2 2" xfId="791" xr:uid="{00000000-0005-0000-0000-0000C3000000}"/>
    <cellStyle name="표준 7 5 3 3" xfId="572" xr:uid="{00000000-0005-0000-0000-0000C3000000}"/>
    <cellStyle name="표준 7 5 4" xfId="259" xr:uid="{00000000-0005-0000-0000-0000C0000000}"/>
    <cellStyle name="표준 7 5 4 2" xfId="697" xr:uid="{00000000-0005-0000-0000-0000C0000000}"/>
    <cellStyle name="표준 7 5 5" xfId="478" xr:uid="{00000000-0005-0000-0000-0000C0000000}"/>
    <cellStyle name="표준 7 5 6" xfId="910" xr:uid="{00000000-0005-0000-0000-00002F000000}"/>
    <cellStyle name="표준 7 6" xfId="63" xr:uid="{00000000-0005-0000-0000-0000C4000000}"/>
    <cellStyle name="표준 7 6 2" xfId="203" xr:uid="{00000000-0005-0000-0000-0000C5000000}"/>
    <cellStyle name="표준 7 6 2 2" xfId="422" xr:uid="{00000000-0005-0000-0000-0000C5000000}"/>
    <cellStyle name="표준 7 6 2 2 2" xfId="860" xr:uid="{00000000-0005-0000-0000-0000C5000000}"/>
    <cellStyle name="표준 7 6 2 3" xfId="641" xr:uid="{00000000-0005-0000-0000-0000C5000000}"/>
    <cellStyle name="표준 7 6 3" xfId="222" xr:uid="{00000000-0005-0000-0000-0000C6000000}"/>
    <cellStyle name="표준 7 6 3 2" xfId="441" xr:uid="{00000000-0005-0000-0000-0000C6000000}"/>
    <cellStyle name="표준 7 6 3 2 2" xfId="879" xr:uid="{00000000-0005-0000-0000-0000C6000000}"/>
    <cellStyle name="표준 7 6 3 3" xfId="660" xr:uid="{00000000-0005-0000-0000-0000C6000000}"/>
    <cellStyle name="표준 7 6 4" xfId="282" xr:uid="{00000000-0005-0000-0000-0000C4000000}"/>
    <cellStyle name="표준 7 6 4 2" xfId="720" xr:uid="{00000000-0005-0000-0000-0000C4000000}"/>
    <cellStyle name="표준 7 6 5" xfId="501" xr:uid="{00000000-0005-0000-0000-0000C4000000}"/>
    <cellStyle name="표준 7 7" xfId="14" xr:uid="{00000000-0005-0000-0000-0000C7000000}"/>
    <cellStyle name="표준 7 7 2" xfId="157" xr:uid="{00000000-0005-0000-0000-0000C8000000}"/>
    <cellStyle name="표준 7 7 2 2" xfId="376" xr:uid="{00000000-0005-0000-0000-0000C8000000}"/>
    <cellStyle name="표준 7 7 2 2 2" xfId="814" xr:uid="{00000000-0005-0000-0000-0000C8000000}"/>
    <cellStyle name="표준 7 7 2 3" xfId="595" xr:uid="{00000000-0005-0000-0000-0000C8000000}"/>
    <cellStyle name="표준 7 7 3" xfId="236" xr:uid="{00000000-0005-0000-0000-0000C7000000}"/>
    <cellStyle name="표준 7 7 3 2" xfId="674" xr:uid="{00000000-0005-0000-0000-0000C7000000}"/>
    <cellStyle name="표준 7 7 4" xfId="455" xr:uid="{00000000-0005-0000-0000-0000C7000000}"/>
    <cellStyle name="표준 7 8" xfId="111" xr:uid="{00000000-0005-0000-0000-0000C9000000}"/>
    <cellStyle name="표준 7 8 2" xfId="330" xr:uid="{00000000-0005-0000-0000-0000C9000000}"/>
    <cellStyle name="표준 7 8 2 2" xfId="768" xr:uid="{00000000-0005-0000-0000-0000C9000000}"/>
    <cellStyle name="표준 7 8 3" xfId="549" xr:uid="{00000000-0005-0000-0000-0000C9000000}"/>
    <cellStyle name="표준 7 9" xfId="211" xr:uid="{00000000-0005-0000-0000-0000CA000000}"/>
    <cellStyle name="표준 7 9 2" xfId="430" xr:uid="{00000000-0005-0000-0000-0000CA000000}"/>
    <cellStyle name="표준 7 9 2 2" xfId="868" xr:uid="{00000000-0005-0000-0000-0000CA000000}"/>
    <cellStyle name="표준 7 9 3" xfId="649" xr:uid="{00000000-0005-0000-0000-0000CA000000}"/>
    <cellStyle name="표준 8" xfId="17" xr:uid="{00000000-0005-0000-0000-0000CB000000}"/>
    <cellStyle name="표준 8 10" xfId="938" xr:uid="{00000000-0005-0000-0000-00000D000000}"/>
    <cellStyle name="표준 8 2" xfId="28" xr:uid="{00000000-0005-0000-0000-0000CC000000}"/>
    <cellStyle name="표준 8 2 2" xfId="52" xr:uid="{00000000-0005-0000-0000-0000CD000000}"/>
    <cellStyle name="표준 8 2 2 2" xfId="101" xr:uid="{00000000-0005-0000-0000-0000CE000000}"/>
    <cellStyle name="표준 8 2 2 2 2" xfId="193" xr:uid="{00000000-0005-0000-0000-0000CF000000}"/>
    <cellStyle name="표준 8 2 2 2 2 2" xfId="412" xr:uid="{00000000-0005-0000-0000-0000CF000000}"/>
    <cellStyle name="표준 8 2 2 2 2 2 2" xfId="850" xr:uid="{00000000-0005-0000-0000-0000CF000000}"/>
    <cellStyle name="표준 8 2 2 2 2 3" xfId="631" xr:uid="{00000000-0005-0000-0000-0000CF000000}"/>
    <cellStyle name="표준 8 2 2 2 3" xfId="320" xr:uid="{00000000-0005-0000-0000-0000CE000000}"/>
    <cellStyle name="표준 8 2 2 2 3 2" xfId="758" xr:uid="{00000000-0005-0000-0000-0000CE000000}"/>
    <cellStyle name="표준 8 2 2 2 4" xfId="539" xr:uid="{00000000-0005-0000-0000-0000CE000000}"/>
    <cellStyle name="표준 8 2 2 3" xfId="147" xr:uid="{00000000-0005-0000-0000-0000D0000000}"/>
    <cellStyle name="표준 8 2 2 3 2" xfId="366" xr:uid="{00000000-0005-0000-0000-0000D0000000}"/>
    <cellStyle name="표준 8 2 2 3 2 2" xfId="804" xr:uid="{00000000-0005-0000-0000-0000D0000000}"/>
    <cellStyle name="표준 8 2 2 3 3" xfId="585" xr:uid="{00000000-0005-0000-0000-0000D0000000}"/>
    <cellStyle name="표준 8 2 2 4" xfId="272" xr:uid="{00000000-0005-0000-0000-0000CD000000}"/>
    <cellStyle name="표준 8 2 2 4 2" xfId="710" xr:uid="{00000000-0005-0000-0000-0000CD000000}"/>
    <cellStyle name="표준 8 2 2 5" xfId="491" xr:uid="{00000000-0005-0000-0000-0000CD000000}"/>
    <cellStyle name="표준 8 2 2 6" xfId="923" xr:uid="{00000000-0005-0000-0000-000032000000}"/>
    <cellStyle name="표준 8 2 3" xfId="78" xr:uid="{00000000-0005-0000-0000-0000D1000000}"/>
    <cellStyle name="표준 8 2 3 2" xfId="170" xr:uid="{00000000-0005-0000-0000-0000D2000000}"/>
    <cellStyle name="표준 8 2 3 2 2" xfId="389" xr:uid="{00000000-0005-0000-0000-0000D2000000}"/>
    <cellStyle name="표준 8 2 3 2 2 2" xfId="827" xr:uid="{00000000-0005-0000-0000-0000D2000000}"/>
    <cellStyle name="표준 8 2 3 2 3" xfId="608" xr:uid="{00000000-0005-0000-0000-0000D2000000}"/>
    <cellStyle name="표준 8 2 3 3" xfId="297" xr:uid="{00000000-0005-0000-0000-0000D1000000}"/>
    <cellStyle name="표준 8 2 3 3 2" xfId="735" xr:uid="{00000000-0005-0000-0000-0000D1000000}"/>
    <cellStyle name="표준 8 2 3 4" xfId="516" xr:uid="{00000000-0005-0000-0000-0000D1000000}"/>
    <cellStyle name="표준 8 2 4" xfId="124" xr:uid="{00000000-0005-0000-0000-0000D3000000}"/>
    <cellStyle name="표준 8 2 4 2" xfId="343" xr:uid="{00000000-0005-0000-0000-0000D3000000}"/>
    <cellStyle name="표준 8 2 4 2 2" xfId="781" xr:uid="{00000000-0005-0000-0000-0000D3000000}"/>
    <cellStyle name="표준 8 2 4 3" xfId="562" xr:uid="{00000000-0005-0000-0000-0000D3000000}"/>
    <cellStyle name="표준 8 2 5" xfId="249" xr:uid="{00000000-0005-0000-0000-0000CC000000}"/>
    <cellStyle name="표준 8 2 5 2" xfId="687" xr:uid="{00000000-0005-0000-0000-0000CC000000}"/>
    <cellStyle name="표준 8 2 6" xfId="468" xr:uid="{00000000-0005-0000-0000-0000CC000000}"/>
    <cellStyle name="표준 8 2 7" xfId="900" xr:uid="{00000000-0005-0000-0000-000031000000}"/>
    <cellStyle name="표준 8 3" xfId="41" xr:uid="{00000000-0005-0000-0000-0000D4000000}"/>
    <cellStyle name="표준 8 3 2" xfId="90" xr:uid="{00000000-0005-0000-0000-0000D5000000}"/>
    <cellStyle name="표준 8 3 2 2" xfId="182" xr:uid="{00000000-0005-0000-0000-0000D6000000}"/>
    <cellStyle name="표준 8 3 2 2 2" xfId="401" xr:uid="{00000000-0005-0000-0000-0000D6000000}"/>
    <cellStyle name="표준 8 3 2 2 2 2" xfId="839" xr:uid="{00000000-0005-0000-0000-0000D6000000}"/>
    <cellStyle name="표준 8 3 2 2 3" xfId="620" xr:uid="{00000000-0005-0000-0000-0000D6000000}"/>
    <cellStyle name="표준 8 3 2 3" xfId="309" xr:uid="{00000000-0005-0000-0000-0000D5000000}"/>
    <cellStyle name="표준 8 3 2 3 2" xfId="747" xr:uid="{00000000-0005-0000-0000-0000D5000000}"/>
    <cellStyle name="표준 8 3 2 4" xfId="528" xr:uid="{00000000-0005-0000-0000-0000D5000000}"/>
    <cellStyle name="표준 8 3 3" xfId="136" xr:uid="{00000000-0005-0000-0000-0000D7000000}"/>
    <cellStyle name="표준 8 3 3 2" xfId="355" xr:uid="{00000000-0005-0000-0000-0000D7000000}"/>
    <cellStyle name="표준 8 3 3 2 2" xfId="793" xr:uid="{00000000-0005-0000-0000-0000D7000000}"/>
    <cellStyle name="표준 8 3 3 3" xfId="574" xr:uid="{00000000-0005-0000-0000-0000D7000000}"/>
    <cellStyle name="표준 8 3 4" xfId="261" xr:uid="{00000000-0005-0000-0000-0000D4000000}"/>
    <cellStyle name="표준 8 3 4 2" xfId="699" xr:uid="{00000000-0005-0000-0000-0000D4000000}"/>
    <cellStyle name="표준 8 3 5" xfId="480" xr:uid="{00000000-0005-0000-0000-0000D4000000}"/>
    <cellStyle name="표준 8 3 6" xfId="912" xr:uid="{00000000-0005-0000-0000-000033000000}"/>
    <cellStyle name="표준 8 4" xfId="70" xr:uid="{00000000-0005-0000-0000-0000D8000000}"/>
    <cellStyle name="표준 8 4 2" xfId="159" xr:uid="{00000000-0005-0000-0000-0000D9000000}"/>
    <cellStyle name="표준 8 4 2 2" xfId="378" xr:uid="{00000000-0005-0000-0000-0000D9000000}"/>
    <cellStyle name="표준 8 4 2 2 2" xfId="816" xr:uid="{00000000-0005-0000-0000-0000D9000000}"/>
    <cellStyle name="표준 8 4 2 3" xfId="597" xr:uid="{00000000-0005-0000-0000-0000D9000000}"/>
    <cellStyle name="표준 8 4 3" xfId="289" xr:uid="{00000000-0005-0000-0000-0000D8000000}"/>
    <cellStyle name="표준 8 4 3 2" xfId="727" xr:uid="{00000000-0005-0000-0000-0000D8000000}"/>
    <cellStyle name="표준 8 4 4" xfId="508" xr:uid="{00000000-0005-0000-0000-0000D8000000}"/>
    <cellStyle name="표준 8 5" xfId="113" xr:uid="{00000000-0005-0000-0000-0000DA000000}"/>
    <cellStyle name="표준 8 5 2" xfId="332" xr:uid="{00000000-0005-0000-0000-0000DA000000}"/>
    <cellStyle name="표준 8 5 2 2" xfId="770" xr:uid="{00000000-0005-0000-0000-0000DA000000}"/>
    <cellStyle name="표준 8 5 3" xfId="551" xr:uid="{00000000-0005-0000-0000-0000DA000000}"/>
    <cellStyle name="표준 8 6" xfId="213" xr:uid="{00000000-0005-0000-0000-0000DB000000}"/>
    <cellStyle name="표준 8 6 2" xfId="432" xr:uid="{00000000-0005-0000-0000-0000DB000000}"/>
    <cellStyle name="표준 8 6 2 2" xfId="870" xr:uid="{00000000-0005-0000-0000-0000DB000000}"/>
    <cellStyle name="표준 8 6 3" xfId="651" xr:uid="{00000000-0005-0000-0000-0000DB000000}"/>
    <cellStyle name="표준 8 7" xfId="238" xr:uid="{00000000-0005-0000-0000-0000CB000000}"/>
    <cellStyle name="표준 8 7 2" xfId="676" xr:uid="{00000000-0005-0000-0000-0000CB000000}"/>
    <cellStyle name="표준 8 8" xfId="457" xr:uid="{00000000-0005-0000-0000-0000CB000000}"/>
    <cellStyle name="표준 8 9" xfId="889" xr:uid="{00000000-0005-0000-0000-000030000000}"/>
    <cellStyle name="표준 9" xfId="35" xr:uid="{00000000-0005-0000-0000-0000DC000000}"/>
    <cellStyle name="표준 9 2" xfId="59" xr:uid="{00000000-0005-0000-0000-0000DD000000}"/>
    <cellStyle name="표준 9 2 2" xfId="108" xr:uid="{00000000-0005-0000-0000-0000DE000000}"/>
    <cellStyle name="표준 9 2 2 2" xfId="200" xr:uid="{00000000-0005-0000-0000-0000DF000000}"/>
    <cellStyle name="표준 9 2 2 2 2" xfId="419" xr:uid="{00000000-0005-0000-0000-0000DF000000}"/>
    <cellStyle name="표준 9 2 2 2 2 2" xfId="857" xr:uid="{00000000-0005-0000-0000-0000DF000000}"/>
    <cellStyle name="표준 9 2 2 2 3" xfId="638" xr:uid="{00000000-0005-0000-0000-0000DF000000}"/>
    <cellStyle name="표준 9 2 2 3" xfId="327" xr:uid="{00000000-0005-0000-0000-0000DE000000}"/>
    <cellStyle name="표준 9 2 2 3 2" xfId="765" xr:uid="{00000000-0005-0000-0000-0000DE000000}"/>
    <cellStyle name="표준 9 2 2 4" xfId="546" xr:uid="{00000000-0005-0000-0000-0000DE000000}"/>
    <cellStyle name="표준 9 2 3" xfId="154" xr:uid="{00000000-0005-0000-0000-0000E0000000}"/>
    <cellStyle name="표준 9 2 3 2" xfId="373" xr:uid="{00000000-0005-0000-0000-0000E0000000}"/>
    <cellStyle name="표준 9 2 3 2 2" xfId="811" xr:uid="{00000000-0005-0000-0000-0000E0000000}"/>
    <cellStyle name="표준 9 2 3 3" xfId="592" xr:uid="{00000000-0005-0000-0000-0000E0000000}"/>
    <cellStyle name="표준 9 2 4" xfId="279" xr:uid="{00000000-0005-0000-0000-0000DD000000}"/>
    <cellStyle name="표준 9 2 4 2" xfId="717" xr:uid="{00000000-0005-0000-0000-0000DD000000}"/>
    <cellStyle name="표준 9 2 5" xfId="498" xr:uid="{00000000-0005-0000-0000-0000DD000000}"/>
    <cellStyle name="표준 9 2 6" xfId="930" xr:uid="{00000000-0005-0000-0000-000035000000}"/>
    <cellStyle name="표준 9 3" xfId="85" xr:uid="{00000000-0005-0000-0000-0000E1000000}"/>
    <cellStyle name="표준 9 3 2" xfId="177" xr:uid="{00000000-0005-0000-0000-0000E2000000}"/>
    <cellStyle name="표준 9 3 2 2" xfId="396" xr:uid="{00000000-0005-0000-0000-0000E2000000}"/>
    <cellStyle name="표준 9 3 2 2 2" xfId="834" xr:uid="{00000000-0005-0000-0000-0000E2000000}"/>
    <cellStyle name="표준 9 3 2 3" xfId="615" xr:uid="{00000000-0005-0000-0000-0000E2000000}"/>
    <cellStyle name="표준 9 3 3" xfId="304" xr:uid="{00000000-0005-0000-0000-0000E1000000}"/>
    <cellStyle name="표준 9 3 3 2" xfId="742" xr:uid="{00000000-0005-0000-0000-0000E1000000}"/>
    <cellStyle name="표준 9 3 4" xfId="523" xr:uid="{00000000-0005-0000-0000-0000E1000000}"/>
    <cellStyle name="표준 9 4" xfId="131" xr:uid="{00000000-0005-0000-0000-0000E3000000}"/>
    <cellStyle name="표준 9 4 2" xfId="350" xr:uid="{00000000-0005-0000-0000-0000E3000000}"/>
    <cellStyle name="표준 9 4 2 2" xfId="788" xr:uid="{00000000-0005-0000-0000-0000E3000000}"/>
    <cellStyle name="표준 9 4 3" xfId="569" xr:uid="{00000000-0005-0000-0000-0000E3000000}"/>
    <cellStyle name="표준 9 5" xfId="256" xr:uid="{00000000-0005-0000-0000-0000DC000000}"/>
    <cellStyle name="표준 9 5 2" xfId="694" xr:uid="{00000000-0005-0000-0000-0000DC000000}"/>
    <cellStyle name="표준 9 6" xfId="475" xr:uid="{00000000-0005-0000-0000-0000DC000000}"/>
    <cellStyle name="표준 9 7" xfId="907" xr:uid="{00000000-0005-0000-0000-000034000000}"/>
    <cellStyle name="하이퍼링크" xfId="93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3175000</xdr:colOff>
          <xdr:row>2</xdr:row>
          <xdr:rowOff>368300</xdr:rowOff>
        </xdr:from>
        <xdr:to>
          <xdr:col>3</xdr:col>
          <xdr:colOff>101600</xdr:colOff>
          <xdr:row>4</xdr:row>
          <xdr:rowOff>12700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3175000</xdr:colOff>
          <xdr:row>3</xdr:row>
          <xdr:rowOff>368300</xdr:rowOff>
        </xdr:from>
        <xdr:to>
          <xdr:col>3</xdr:col>
          <xdr:colOff>101600</xdr:colOff>
          <xdr:row>5</xdr:row>
          <xdr:rowOff>25400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3</xdr:row>
          <xdr:rowOff>50800</xdr:rowOff>
        </xdr:from>
        <xdr:to>
          <xdr:col>5</xdr:col>
          <xdr:colOff>787400</xdr:colOff>
          <xdr:row>3</xdr:row>
          <xdr:rowOff>304800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4</xdr:row>
          <xdr:rowOff>50800</xdr:rowOff>
        </xdr:from>
        <xdr:to>
          <xdr:col>5</xdr:col>
          <xdr:colOff>762000</xdr:colOff>
          <xdr:row>4</xdr:row>
          <xdr:rowOff>317500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1257300</xdr:colOff>
          <xdr:row>3</xdr:row>
          <xdr:rowOff>38100</xdr:rowOff>
        </xdr:from>
        <xdr:to>
          <xdr:col>11</xdr:col>
          <xdr:colOff>355600</xdr:colOff>
          <xdr:row>3</xdr:row>
          <xdr:rowOff>317500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1257300</xdr:colOff>
          <xdr:row>4</xdr:row>
          <xdr:rowOff>38100</xdr:rowOff>
        </xdr:from>
        <xdr:to>
          <xdr:col>11</xdr:col>
          <xdr:colOff>342900</xdr:colOff>
          <xdr:row>4</xdr:row>
          <xdr:rowOff>317500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0"/>
  <sheetViews>
    <sheetView zoomScale="70" zoomScaleNormal="70" workbookViewId="0">
      <pane ySplit="8" topLeftCell="A9" activePane="bottomLeft" state="frozen"/>
      <selection pane="bottomLeft" activeCell="O23" sqref="O23"/>
    </sheetView>
  </sheetViews>
  <sheetFormatPr baseColWidth="10" defaultColWidth="9" defaultRowHeight="17"/>
  <cols>
    <col min="1" max="1" width="15.5" style="1" customWidth="1"/>
    <col min="2" max="2" width="27.5" style="3" customWidth="1"/>
    <col min="3" max="3" width="47.6640625" style="3" bestFit="1" customWidth="1"/>
    <col min="4" max="4" width="18.33203125" style="3" customWidth="1"/>
    <col min="5" max="5" width="27.5" style="3" bestFit="1" customWidth="1"/>
    <col min="6" max="6" width="10.6640625" style="3" customWidth="1"/>
    <col min="7" max="7" width="14.83203125" style="3" customWidth="1"/>
    <col min="8" max="8" width="17.5" style="3" customWidth="1"/>
    <col min="9" max="9" width="16.83203125" style="64" hidden="1" customWidth="1"/>
    <col min="10" max="10" width="16.6640625" style="64" hidden="1" customWidth="1"/>
    <col min="11" max="11" width="16.6640625" style="65" customWidth="1"/>
    <col min="12" max="12" width="21.83203125" style="66" customWidth="1"/>
    <col min="13" max="13" width="20.1640625" style="1" customWidth="1"/>
    <col min="14" max="14" width="6.1640625" style="1" customWidth="1"/>
    <col min="15" max="16384" width="9" style="1"/>
  </cols>
  <sheetData>
    <row r="1" spans="1:13" ht="33" customHeight="1">
      <c r="A1" s="296" t="s">
        <v>86</v>
      </c>
      <c r="B1" s="297"/>
      <c r="C1" s="297"/>
      <c r="D1" s="297"/>
      <c r="E1" s="297"/>
      <c r="F1" s="297"/>
      <c r="G1" s="297"/>
      <c r="H1" s="297"/>
      <c r="I1" s="297"/>
      <c r="J1" s="297"/>
      <c r="K1" s="298"/>
      <c r="L1" s="97" t="s">
        <v>87</v>
      </c>
      <c r="M1" s="5"/>
    </row>
    <row r="2" spans="1:13">
      <c r="A2" s="34"/>
      <c r="B2" s="34"/>
      <c r="C2" s="34"/>
      <c r="D2" s="35"/>
      <c r="E2" s="35"/>
      <c r="F2" s="35"/>
      <c r="G2" s="35"/>
      <c r="H2" s="35"/>
      <c r="I2" s="36"/>
      <c r="J2" s="36"/>
      <c r="K2" s="37"/>
      <c r="L2" s="38"/>
      <c r="M2" s="5"/>
    </row>
    <row r="3" spans="1:13" ht="33" customHeight="1">
      <c r="A3" s="299" t="s">
        <v>91</v>
      </c>
      <c r="B3" s="299"/>
      <c r="C3" s="299" t="s">
        <v>94</v>
      </c>
      <c r="D3" s="299"/>
      <c r="E3" s="299"/>
      <c r="F3" s="299"/>
      <c r="G3" s="299"/>
      <c r="H3" s="299"/>
      <c r="I3" s="299"/>
      <c r="J3" s="299"/>
      <c r="K3" s="299"/>
      <c r="L3" s="299"/>
      <c r="M3" s="5"/>
    </row>
    <row r="4" spans="1:13" ht="34.5" customHeight="1">
      <c r="A4" s="300" t="s">
        <v>92</v>
      </c>
      <c r="B4" s="300"/>
      <c r="C4" s="301" t="s">
        <v>93</v>
      </c>
      <c r="D4" s="303"/>
      <c r="E4" s="301" t="s">
        <v>89</v>
      </c>
      <c r="F4" s="302"/>
      <c r="G4" s="303"/>
      <c r="H4" s="301" t="s">
        <v>88</v>
      </c>
      <c r="I4" s="302"/>
      <c r="J4" s="302"/>
      <c r="K4" s="302"/>
      <c r="L4" s="303"/>
      <c r="M4" s="5"/>
    </row>
    <row r="5" spans="1:13" ht="30.5" customHeight="1">
      <c r="A5" s="300" t="s">
        <v>97</v>
      </c>
      <c r="B5" s="300"/>
      <c r="C5" s="301" t="s">
        <v>95</v>
      </c>
      <c r="D5" s="303"/>
      <c r="E5" s="301" t="s">
        <v>90</v>
      </c>
      <c r="F5" s="302"/>
      <c r="G5" s="303"/>
      <c r="H5" s="301" t="s">
        <v>88</v>
      </c>
      <c r="I5" s="302"/>
      <c r="J5" s="302"/>
      <c r="K5" s="302"/>
      <c r="L5" s="303"/>
      <c r="M5" s="5"/>
    </row>
    <row r="6" spans="1:13" ht="32.5" customHeight="1">
      <c r="A6" s="304" t="s">
        <v>96</v>
      </c>
      <c r="B6" s="278"/>
      <c r="C6" s="278"/>
      <c r="D6" s="278"/>
      <c r="E6" s="278"/>
      <c r="F6" s="278"/>
      <c r="G6" s="278"/>
      <c r="H6" s="278"/>
      <c r="I6" s="279"/>
      <c r="J6" s="280"/>
      <c r="K6" s="96"/>
      <c r="L6" s="98"/>
      <c r="M6" s="5"/>
    </row>
    <row r="7" spans="1:13" s="2" customFormat="1" ht="20" customHeight="1">
      <c r="A7" s="311" t="s">
        <v>2</v>
      </c>
      <c r="B7" s="318"/>
      <c r="C7" s="312"/>
      <c r="D7" s="6" t="s">
        <v>73</v>
      </c>
      <c r="E7" s="309" t="s">
        <v>74</v>
      </c>
      <c r="F7" s="309" t="s">
        <v>3</v>
      </c>
      <c r="G7" s="6" t="s">
        <v>0</v>
      </c>
      <c r="H7" s="309" t="s">
        <v>1</v>
      </c>
      <c r="I7" s="315" t="s">
        <v>78</v>
      </c>
      <c r="J7" s="315" t="s">
        <v>79</v>
      </c>
      <c r="K7" s="307" t="s">
        <v>75</v>
      </c>
      <c r="L7" s="309" t="s">
        <v>4</v>
      </c>
      <c r="M7" s="4"/>
    </row>
    <row r="8" spans="1:13" s="2" customFormat="1" ht="18">
      <c r="A8" s="311" t="s">
        <v>76</v>
      </c>
      <c r="B8" s="312"/>
      <c r="C8" s="39" t="s">
        <v>19</v>
      </c>
      <c r="D8" s="6" t="s">
        <v>5</v>
      </c>
      <c r="E8" s="310"/>
      <c r="F8" s="310"/>
      <c r="G8" s="6" t="s">
        <v>6</v>
      </c>
      <c r="H8" s="310"/>
      <c r="I8" s="316"/>
      <c r="J8" s="316"/>
      <c r="K8" s="308"/>
      <c r="L8" s="310"/>
      <c r="M8" s="4"/>
    </row>
    <row r="9" spans="1:13" ht="17.5" customHeight="1">
      <c r="A9" s="313" t="s">
        <v>71</v>
      </c>
      <c r="B9" s="90" t="s">
        <v>81</v>
      </c>
      <c r="C9" s="91" t="s">
        <v>82</v>
      </c>
      <c r="D9" s="92" t="s">
        <v>83</v>
      </c>
      <c r="E9" s="92" t="s">
        <v>83</v>
      </c>
      <c r="F9" s="92" t="s">
        <v>84</v>
      </c>
      <c r="G9" s="92"/>
      <c r="H9" s="92" t="s">
        <v>85</v>
      </c>
      <c r="I9" s="93"/>
      <c r="J9" s="94"/>
      <c r="K9" s="95"/>
      <c r="L9" s="91"/>
      <c r="M9" s="5"/>
    </row>
    <row r="10" spans="1:13" ht="17.5" customHeight="1">
      <c r="A10" s="317"/>
      <c r="B10" s="40"/>
      <c r="C10" s="41"/>
      <c r="D10" s="32"/>
      <c r="E10" s="32"/>
      <c r="F10" s="32"/>
      <c r="G10" s="32"/>
      <c r="H10" s="32"/>
      <c r="I10" s="67"/>
      <c r="J10" s="43"/>
      <c r="K10" s="87"/>
      <c r="L10" s="41"/>
      <c r="M10" s="5"/>
    </row>
    <row r="11" spans="1:13" ht="17.5" customHeight="1">
      <c r="A11" s="317"/>
      <c r="B11" s="40"/>
      <c r="C11" s="41"/>
      <c r="D11" s="32"/>
      <c r="E11" s="32"/>
      <c r="F11" s="32"/>
      <c r="G11" s="32"/>
      <c r="H11" s="32"/>
      <c r="I11" s="67"/>
      <c r="J11" s="43"/>
      <c r="K11" s="87"/>
      <c r="L11" s="41"/>
      <c r="M11" s="5"/>
    </row>
    <row r="12" spans="1:13">
      <c r="A12" s="317"/>
      <c r="B12" s="40"/>
      <c r="C12" s="41"/>
      <c r="D12" s="32"/>
      <c r="E12" s="32"/>
      <c r="F12" s="32"/>
      <c r="G12" s="32"/>
      <c r="H12" s="32"/>
      <c r="I12" s="68"/>
      <c r="J12" s="44"/>
      <c r="K12" s="87"/>
      <c r="L12" s="41"/>
      <c r="M12" s="5"/>
    </row>
    <row r="13" spans="1:13">
      <c r="A13" s="317"/>
      <c r="B13" s="40"/>
      <c r="C13" s="45"/>
      <c r="D13" s="32"/>
      <c r="E13" s="32"/>
      <c r="F13" s="33"/>
      <c r="G13" s="32"/>
      <c r="H13" s="33"/>
      <c r="I13" s="68"/>
      <c r="J13" s="43"/>
      <c r="K13" s="87"/>
      <c r="L13" s="45"/>
      <c r="M13" s="5"/>
    </row>
    <row r="14" spans="1:13">
      <c r="A14" s="317"/>
      <c r="B14" s="40"/>
      <c r="C14" s="46"/>
      <c r="D14" s="32"/>
      <c r="E14" s="32"/>
      <c r="F14" s="32"/>
      <c r="G14" s="32"/>
      <c r="H14" s="47"/>
      <c r="I14" s="69"/>
      <c r="J14" s="43"/>
      <c r="K14" s="87"/>
      <c r="L14" s="46"/>
      <c r="M14" s="5"/>
    </row>
    <row r="15" spans="1:13" ht="18" customHeight="1">
      <c r="A15" s="317"/>
      <c r="B15" s="40"/>
      <c r="C15" s="46"/>
      <c r="D15" s="32"/>
      <c r="E15" s="32"/>
      <c r="F15" s="32"/>
      <c r="G15" s="32"/>
      <c r="H15" s="47"/>
      <c r="I15" s="69"/>
      <c r="J15" s="43"/>
      <c r="K15" s="87"/>
      <c r="L15" s="46"/>
      <c r="M15" s="5"/>
    </row>
    <row r="16" spans="1:13">
      <c r="A16" s="317"/>
      <c r="B16" s="40"/>
      <c r="C16" s="46"/>
      <c r="D16" s="32"/>
      <c r="E16" s="32"/>
      <c r="F16" s="32"/>
      <c r="G16" s="32"/>
      <c r="H16" s="47"/>
      <c r="I16" s="69"/>
      <c r="J16" s="43"/>
      <c r="K16" s="87"/>
      <c r="L16" s="46"/>
      <c r="M16" s="5"/>
    </row>
    <row r="17" spans="1:19">
      <c r="A17" s="317"/>
      <c r="B17" s="40"/>
      <c r="C17" s="46"/>
      <c r="D17" s="32"/>
      <c r="E17" s="32"/>
      <c r="F17" s="32"/>
      <c r="G17" s="32"/>
      <c r="H17" s="47"/>
      <c r="I17" s="69"/>
      <c r="J17" s="43"/>
      <c r="K17" s="87"/>
      <c r="L17" s="46"/>
      <c r="M17" s="5"/>
    </row>
    <row r="18" spans="1:19">
      <c r="A18" s="317"/>
      <c r="B18" s="40"/>
      <c r="C18" s="46"/>
      <c r="D18" s="32"/>
      <c r="E18" s="32"/>
      <c r="F18" s="32"/>
      <c r="G18" s="32"/>
      <c r="H18" s="47"/>
      <c r="I18" s="69"/>
      <c r="J18" s="43"/>
      <c r="K18" s="87"/>
      <c r="L18" s="46"/>
      <c r="M18" s="5"/>
    </row>
    <row r="19" spans="1:19">
      <c r="A19" s="317"/>
      <c r="B19" s="313"/>
      <c r="C19" s="46"/>
      <c r="D19" s="32"/>
      <c r="E19" s="32"/>
      <c r="F19" s="32"/>
      <c r="G19" s="32"/>
      <c r="H19" s="47"/>
      <c r="I19" s="69"/>
      <c r="J19" s="42"/>
      <c r="K19" s="87"/>
      <c r="L19" s="46"/>
      <c r="M19" s="5"/>
      <c r="Q19" s="85"/>
      <c r="R19" s="86"/>
      <c r="S19" s="86"/>
    </row>
    <row r="20" spans="1:19">
      <c r="A20" s="317"/>
      <c r="B20" s="314"/>
      <c r="C20" s="46"/>
      <c r="D20" s="32"/>
      <c r="E20" s="32"/>
      <c r="F20" s="32"/>
      <c r="G20" s="32"/>
      <c r="H20" s="47"/>
      <c r="I20" s="69"/>
      <c r="J20" s="42"/>
      <c r="K20" s="87"/>
      <c r="L20" s="46"/>
      <c r="M20" s="5"/>
    </row>
    <row r="21" spans="1:19" s="75" customFormat="1">
      <c r="A21" s="317"/>
      <c r="B21" s="79"/>
      <c r="C21" s="80"/>
      <c r="D21" s="76"/>
      <c r="E21" s="76"/>
      <c r="F21" s="77"/>
      <c r="G21" s="77"/>
      <c r="H21" s="47"/>
      <c r="I21" s="88"/>
      <c r="J21" s="78"/>
      <c r="K21" s="87"/>
      <c r="L21" s="46"/>
    </row>
    <row r="22" spans="1:19" s="75" customFormat="1">
      <c r="A22" s="317"/>
      <c r="B22" s="81"/>
      <c r="C22" s="77"/>
      <c r="D22" s="77"/>
      <c r="E22" s="77"/>
      <c r="F22" s="77"/>
      <c r="G22" s="77"/>
      <c r="H22" s="77"/>
      <c r="I22" s="88"/>
      <c r="J22" s="78"/>
      <c r="K22" s="87"/>
      <c r="L22" s="46"/>
    </row>
    <row r="23" spans="1:19" s="75" customFormat="1">
      <c r="A23" s="314"/>
      <c r="B23" s="81"/>
      <c r="C23" s="77"/>
      <c r="D23" s="77"/>
      <c r="E23" s="82"/>
      <c r="F23" s="77"/>
      <c r="G23" s="77"/>
      <c r="H23" s="77"/>
      <c r="I23" s="88"/>
      <c r="J23" s="78"/>
      <c r="K23" s="87"/>
      <c r="L23" s="46"/>
    </row>
    <row r="24" spans="1:19" s="51" customFormat="1">
      <c r="A24" s="305" t="s">
        <v>72</v>
      </c>
      <c r="B24" s="40"/>
      <c r="C24" s="45"/>
      <c r="D24" s="32"/>
      <c r="E24" s="32"/>
      <c r="F24" s="33"/>
      <c r="G24" s="32"/>
      <c r="H24" s="33"/>
      <c r="I24" s="68"/>
      <c r="J24" s="44"/>
      <c r="K24" s="87"/>
      <c r="L24" s="45"/>
      <c r="M24" s="50"/>
    </row>
    <row r="25" spans="1:19" s="51" customFormat="1">
      <c r="A25" s="306"/>
      <c r="B25" s="40"/>
      <c r="C25" s="45"/>
      <c r="D25" s="32"/>
      <c r="E25" s="32"/>
      <c r="F25" s="33"/>
      <c r="G25" s="32"/>
      <c r="H25" s="33"/>
      <c r="I25" s="68"/>
      <c r="J25" s="44"/>
      <c r="K25" s="87"/>
      <c r="L25" s="45"/>
      <c r="M25" s="50"/>
    </row>
    <row r="26" spans="1:19">
      <c r="A26" s="306"/>
      <c r="B26" s="40"/>
      <c r="C26" s="45"/>
      <c r="D26" s="32"/>
      <c r="E26" s="32"/>
      <c r="F26" s="33"/>
      <c r="G26" s="32"/>
      <c r="H26" s="33"/>
      <c r="I26" s="68"/>
      <c r="J26" s="44"/>
      <c r="K26" s="87"/>
      <c r="L26" s="45"/>
      <c r="M26" s="5"/>
    </row>
    <row r="27" spans="1:19">
      <c r="A27" s="306"/>
      <c r="B27" s="40"/>
      <c r="C27" s="46"/>
      <c r="D27" s="32"/>
      <c r="E27" s="32"/>
      <c r="F27" s="32"/>
      <c r="G27" s="32"/>
      <c r="H27" s="47"/>
      <c r="I27" s="69"/>
      <c r="J27" s="43"/>
      <c r="K27" s="87"/>
      <c r="L27" s="46"/>
      <c r="M27" s="5"/>
    </row>
    <row r="28" spans="1:19" ht="17.5" customHeight="1">
      <c r="A28" s="306"/>
      <c r="B28" s="49"/>
      <c r="C28" s="48"/>
      <c r="D28" s="32"/>
      <c r="E28" s="32"/>
      <c r="F28" s="32"/>
      <c r="G28" s="32"/>
      <c r="H28" s="47"/>
      <c r="I28" s="69"/>
      <c r="J28" s="43"/>
      <c r="K28" s="87"/>
      <c r="L28" s="48"/>
      <c r="M28" s="5"/>
    </row>
    <row r="29" spans="1:19">
      <c r="A29" s="306"/>
      <c r="B29" s="49"/>
      <c r="C29" s="48"/>
      <c r="D29" s="32"/>
      <c r="E29" s="32"/>
      <c r="F29" s="32"/>
      <c r="G29" s="32"/>
      <c r="H29" s="47"/>
      <c r="I29" s="69"/>
      <c r="J29" s="43"/>
      <c r="K29" s="87"/>
      <c r="L29" s="48"/>
      <c r="M29" s="5"/>
    </row>
    <row r="30" spans="1:19">
      <c r="A30" s="306"/>
      <c r="B30" s="49"/>
      <c r="C30" s="48"/>
      <c r="D30" s="32"/>
      <c r="E30" s="32"/>
      <c r="F30" s="32"/>
      <c r="G30" s="32"/>
      <c r="H30" s="47"/>
      <c r="I30" s="69"/>
      <c r="J30" s="42"/>
      <c r="K30" s="87"/>
      <c r="L30" s="48"/>
      <c r="M30" s="5"/>
    </row>
    <row r="31" spans="1:19" s="51" customFormat="1">
      <c r="A31" s="305" t="s">
        <v>80</v>
      </c>
      <c r="B31" s="83"/>
      <c r="C31" s="77"/>
      <c r="D31" s="77"/>
      <c r="E31" s="77"/>
      <c r="F31" s="77"/>
      <c r="G31" s="77"/>
      <c r="H31" s="77"/>
      <c r="I31" s="89"/>
      <c r="J31" s="78"/>
      <c r="K31" s="87"/>
      <c r="L31" s="73"/>
      <c r="M31" s="50"/>
    </row>
    <row r="32" spans="1:19" s="51" customFormat="1">
      <c r="A32" s="306"/>
      <c r="B32" s="40"/>
      <c r="C32" s="45"/>
      <c r="D32" s="32"/>
      <c r="E32" s="32"/>
      <c r="F32" s="33"/>
      <c r="G32" s="32"/>
      <c r="H32" s="33"/>
      <c r="I32" s="68"/>
      <c r="J32" s="44"/>
      <c r="K32" s="87"/>
      <c r="L32" s="73"/>
      <c r="M32" s="50"/>
    </row>
    <row r="33" spans="1:13" s="51" customFormat="1">
      <c r="A33" s="306"/>
      <c r="B33" s="40"/>
      <c r="C33" s="45"/>
      <c r="D33" s="32"/>
      <c r="E33" s="32"/>
      <c r="F33" s="33"/>
      <c r="G33" s="32"/>
      <c r="H33" s="33"/>
      <c r="I33" s="68"/>
      <c r="J33" s="44"/>
      <c r="K33" s="87"/>
      <c r="L33" s="73"/>
      <c r="M33" s="50"/>
    </row>
    <row r="34" spans="1:13" s="51" customFormat="1">
      <c r="A34" s="306"/>
      <c r="B34" s="40"/>
      <c r="C34" s="45"/>
      <c r="D34" s="32"/>
      <c r="E34" s="32"/>
      <c r="F34" s="33"/>
      <c r="G34" s="32"/>
      <c r="H34" s="33"/>
      <c r="I34" s="68"/>
      <c r="J34" s="44"/>
      <c r="K34" s="87"/>
      <c r="L34" s="74"/>
      <c r="M34" s="50"/>
    </row>
    <row r="35" spans="1:13">
      <c r="A35" s="306"/>
      <c r="B35" s="40"/>
      <c r="C35" s="45"/>
      <c r="D35" s="32"/>
      <c r="E35" s="32"/>
      <c r="F35" s="33"/>
      <c r="G35" s="32"/>
      <c r="H35" s="33"/>
      <c r="I35" s="68"/>
      <c r="J35" s="44"/>
      <c r="K35" s="87"/>
      <c r="L35" s="74"/>
      <c r="M35" s="5"/>
    </row>
    <row r="36" spans="1:13" ht="18">
      <c r="A36" s="58"/>
      <c r="B36" s="52" t="s">
        <v>77</v>
      </c>
      <c r="C36" s="53"/>
      <c r="D36" s="54"/>
      <c r="E36" s="55"/>
      <c r="F36" s="55"/>
      <c r="G36" s="56"/>
      <c r="H36" s="55"/>
      <c r="I36" s="70"/>
      <c r="J36" s="57"/>
      <c r="K36" s="57">
        <f>SUM(K9:K35)</f>
        <v>0</v>
      </c>
      <c r="L36" s="55"/>
      <c r="M36" s="5"/>
    </row>
    <row r="37" spans="1:13" ht="26.5" customHeight="1">
      <c r="A37" s="58"/>
      <c r="B37" s="59" t="s">
        <v>9</v>
      </c>
      <c r="C37" s="60"/>
      <c r="D37" s="61"/>
      <c r="E37" s="62"/>
      <c r="F37" s="62"/>
      <c r="G37" s="62"/>
      <c r="H37" s="62"/>
      <c r="I37" s="63"/>
      <c r="J37" s="63"/>
      <c r="K37" s="63">
        <f>K36</f>
        <v>0</v>
      </c>
      <c r="L37" s="62"/>
      <c r="M37" s="5"/>
    </row>
    <row r="39" spans="1:13" ht="30.5" customHeight="1">
      <c r="A39" s="277" t="s">
        <v>135</v>
      </c>
      <c r="B39" s="278"/>
      <c r="C39" s="278"/>
      <c r="D39" s="278"/>
      <c r="E39" s="278"/>
      <c r="F39" s="278"/>
      <c r="G39" s="278"/>
      <c r="H39" s="278"/>
      <c r="I39" s="279"/>
      <c r="J39" s="280"/>
    </row>
    <row r="40" spans="1:13" ht="18">
      <c r="A40" s="281" t="s">
        <v>136</v>
      </c>
      <c r="B40" s="282"/>
      <c r="C40" s="282"/>
      <c r="D40" s="282"/>
      <c r="E40" s="282"/>
      <c r="F40" s="282"/>
      <c r="G40" s="282"/>
      <c r="H40" s="282"/>
      <c r="I40" s="283"/>
      <c r="J40" s="284"/>
    </row>
    <row r="41" spans="1:13" ht="18">
      <c r="A41" s="107"/>
      <c r="B41" s="108"/>
      <c r="C41" s="108"/>
      <c r="D41" s="108"/>
      <c r="E41" s="108"/>
      <c r="F41" s="108"/>
      <c r="G41" s="108"/>
      <c r="H41" s="108"/>
      <c r="I41" s="109"/>
      <c r="J41" s="110"/>
    </row>
    <row r="42" spans="1:13" ht="20">
      <c r="A42" s="111" t="s">
        <v>142</v>
      </c>
      <c r="B42" s="108"/>
      <c r="C42" s="108"/>
      <c r="D42" s="108"/>
      <c r="E42" s="108"/>
      <c r="F42" s="108"/>
      <c r="G42" s="108"/>
      <c r="H42" s="108"/>
      <c r="I42" s="109"/>
      <c r="J42" s="110"/>
    </row>
    <row r="43" spans="1:13">
      <c r="A43" s="112"/>
      <c r="B43" s="113"/>
      <c r="C43" s="113"/>
      <c r="D43" s="113"/>
      <c r="E43" s="113"/>
      <c r="F43" s="113"/>
      <c r="G43" s="113"/>
      <c r="H43" s="113"/>
      <c r="I43" s="113"/>
      <c r="J43" s="114"/>
    </row>
    <row r="44" spans="1:13" ht="18">
      <c r="A44" s="285" t="s">
        <v>137</v>
      </c>
      <c r="B44" s="286"/>
      <c r="C44" s="286"/>
      <c r="D44" s="286"/>
      <c r="E44" s="286"/>
      <c r="F44" s="286"/>
      <c r="G44" s="286"/>
      <c r="H44" s="286"/>
      <c r="I44" s="287"/>
      <c r="J44" s="288"/>
    </row>
    <row r="45" spans="1:13" ht="18">
      <c r="A45" s="289" t="s">
        <v>138</v>
      </c>
      <c r="B45" s="290"/>
      <c r="C45" s="290"/>
      <c r="D45" s="290"/>
      <c r="E45" s="290"/>
      <c r="F45" s="290"/>
      <c r="G45" s="290"/>
      <c r="H45" s="290"/>
      <c r="I45" s="291"/>
      <c r="J45" s="292"/>
    </row>
    <row r="46" spans="1:13" ht="18">
      <c r="A46" s="293" t="s">
        <v>139</v>
      </c>
      <c r="B46" s="294"/>
      <c r="C46" s="294"/>
      <c r="D46" s="294"/>
      <c r="E46" s="294"/>
      <c r="F46" s="294"/>
      <c r="G46" s="294"/>
      <c r="H46" s="294"/>
      <c r="I46" s="294"/>
      <c r="J46" s="295"/>
    </row>
    <row r="47" spans="1:13" ht="18">
      <c r="A47" s="270" t="s">
        <v>140</v>
      </c>
      <c r="B47" s="271"/>
      <c r="C47" s="271"/>
      <c r="D47" s="271"/>
      <c r="E47" s="271"/>
      <c r="F47" s="271"/>
      <c r="G47" s="271"/>
      <c r="H47" s="271"/>
      <c r="I47" s="271"/>
      <c r="J47" s="272"/>
    </row>
    <row r="48" spans="1:13" ht="18">
      <c r="A48" s="270" t="s">
        <v>141</v>
      </c>
      <c r="B48" s="271"/>
      <c r="C48" s="271"/>
      <c r="D48" s="271"/>
      <c r="E48" s="271"/>
      <c r="F48" s="271"/>
      <c r="G48" s="271"/>
      <c r="H48" s="271"/>
      <c r="I48" s="271"/>
      <c r="J48" s="272"/>
    </row>
    <row r="49" spans="1:10">
      <c r="A49" s="273"/>
      <c r="B49" s="274"/>
      <c r="C49" s="274"/>
      <c r="D49" s="274"/>
      <c r="E49" s="274"/>
      <c r="F49" s="274"/>
      <c r="G49" s="274"/>
      <c r="H49" s="274"/>
      <c r="I49" s="275"/>
      <c r="J49" s="276"/>
    </row>
    <row r="50" spans="1:10" ht="18">
      <c r="A50" s="277" t="s">
        <v>143</v>
      </c>
      <c r="B50" s="278"/>
      <c r="C50" s="278"/>
      <c r="D50" s="278"/>
      <c r="E50" s="278"/>
      <c r="F50" s="278"/>
      <c r="G50" s="278"/>
      <c r="H50" s="278"/>
      <c r="I50" s="279"/>
      <c r="J50" s="280"/>
    </row>
  </sheetData>
  <mergeCells count="34">
    <mergeCell ref="I7:I8"/>
    <mergeCell ref="J7:J8"/>
    <mergeCell ref="A9:A23"/>
    <mergeCell ref="C3:L3"/>
    <mergeCell ref="C4:D4"/>
    <mergeCell ref="C5:D5"/>
    <mergeCell ref="A7:C7"/>
    <mergeCell ref="E7:E8"/>
    <mergeCell ref="F7:F8"/>
    <mergeCell ref="H7:H8"/>
    <mergeCell ref="A1:K1"/>
    <mergeCell ref="A3:B3"/>
    <mergeCell ref="A4:B4"/>
    <mergeCell ref="A5:B5"/>
    <mergeCell ref="A39:J39"/>
    <mergeCell ref="E4:G4"/>
    <mergeCell ref="E5:G5"/>
    <mergeCell ref="H4:L4"/>
    <mergeCell ref="H5:L5"/>
    <mergeCell ref="A6:J6"/>
    <mergeCell ref="A31:A35"/>
    <mergeCell ref="A24:A30"/>
    <mergeCell ref="K7:K8"/>
    <mergeCell ref="L7:L8"/>
    <mergeCell ref="A8:B8"/>
    <mergeCell ref="B19:B20"/>
    <mergeCell ref="A48:J48"/>
    <mergeCell ref="A49:J49"/>
    <mergeCell ref="A50:J50"/>
    <mergeCell ref="A40:J40"/>
    <mergeCell ref="A44:J44"/>
    <mergeCell ref="A45:J45"/>
    <mergeCell ref="A46:J46"/>
    <mergeCell ref="A47:J47"/>
  </mergeCells>
  <phoneticPr fontId="8" type="noConversion"/>
  <pageMargins left="0.7" right="0.7" top="0.75" bottom="0.75" header="0.3" footer="0.3"/>
  <pageSetup paperSize="9" scale="6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2</xdr:col>
                    <xdr:colOff>3175000</xdr:colOff>
                    <xdr:row>2</xdr:row>
                    <xdr:rowOff>368300</xdr:rowOff>
                  </from>
                  <to>
                    <xdr:col>3</xdr:col>
                    <xdr:colOff>101600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5" name="Check Box 4">
              <controlPr defaultSize="0" autoFill="0" autoLine="0" autoPict="0">
                <anchor moveWithCells="1">
                  <from>
                    <xdr:col>2</xdr:col>
                    <xdr:colOff>3175000</xdr:colOff>
                    <xdr:row>3</xdr:row>
                    <xdr:rowOff>368300</xdr:rowOff>
                  </from>
                  <to>
                    <xdr:col>3</xdr:col>
                    <xdr:colOff>101600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6" name="Check Box 5">
              <controlPr defaultSize="0" autoFill="0" autoLine="0" autoPict="0">
                <anchor moveWithCells="1">
                  <from>
                    <xdr:col>5</xdr:col>
                    <xdr:colOff>355600</xdr:colOff>
                    <xdr:row>3</xdr:row>
                    <xdr:rowOff>50800</xdr:rowOff>
                  </from>
                  <to>
                    <xdr:col>5</xdr:col>
                    <xdr:colOff>787400</xdr:colOff>
                    <xdr:row>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7" name="Check Box 7">
              <controlPr defaultSize="0" autoFill="0" autoLine="0" autoPict="0">
                <anchor moveWithCells="1">
                  <from>
                    <xdr:col>5</xdr:col>
                    <xdr:colOff>355600</xdr:colOff>
                    <xdr:row>4</xdr:row>
                    <xdr:rowOff>50800</xdr:rowOff>
                  </from>
                  <to>
                    <xdr:col>5</xdr:col>
                    <xdr:colOff>762000</xdr:colOff>
                    <xdr:row>4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8" name="Check Box 8">
              <controlPr defaultSize="0" autoFill="0" autoLine="0" autoPict="0">
                <anchor moveWithCells="1">
                  <from>
                    <xdr:col>10</xdr:col>
                    <xdr:colOff>1257300</xdr:colOff>
                    <xdr:row>3</xdr:row>
                    <xdr:rowOff>38100</xdr:rowOff>
                  </from>
                  <to>
                    <xdr:col>11</xdr:col>
                    <xdr:colOff>355600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9" name="Check Box 9">
              <controlPr defaultSize="0" autoFill="0" autoLine="0" autoPict="0">
                <anchor moveWithCells="1">
                  <from>
                    <xdr:col>10</xdr:col>
                    <xdr:colOff>1257300</xdr:colOff>
                    <xdr:row>4</xdr:row>
                    <xdr:rowOff>38100</xdr:rowOff>
                  </from>
                  <to>
                    <xdr:col>11</xdr:col>
                    <xdr:colOff>342900</xdr:colOff>
                    <xdr:row>4</xdr:row>
                    <xdr:rowOff>317500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E39"/>
  <sheetViews>
    <sheetView zoomScale="70" zoomScaleNormal="70" workbookViewId="0">
      <selection activeCell="L43" sqref="L43:M43"/>
    </sheetView>
  </sheetViews>
  <sheetFormatPr baseColWidth="10" defaultColWidth="8.83203125" defaultRowHeight="17"/>
  <cols>
    <col min="1" max="1" width="2" customWidth="1"/>
  </cols>
  <sheetData>
    <row r="1" spans="2:31">
      <c r="B1" s="319" t="s">
        <v>7</v>
      </c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20" t="s">
        <v>8</v>
      </c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</row>
    <row r="2" spans="2:31"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</row>
    <row r="3" spans="2:31"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</row>
    <row r="4" spans="2:31"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0"/>
      <c r="AC4" s="320"/>
      <c r="AD4" s="320"/>
      <c r="AE4" s="320"/>
    </row>
    <row r="5" spans="2:3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2:3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2:3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2:3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2:3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2:3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2:3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2:3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2:3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2:3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2:3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2:3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2:3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2:3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2:3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2:3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2:3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2:3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2:3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2:3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2:3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2:3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2:3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2:3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2:3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2:3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2:3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2:3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2:3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2:3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2:3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2:3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9" spans="2:31" ht="18">
      <c r="B39" s="115" t="s">
        <v>144</v>
      </c>
    </row>
  </sheetData>
  <mergeCells count="2">
    <mergeCell ref="B1:P4"/>
    <mergeCell ref="Q1:AE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3"/>
  <sheetViews>
    <sheetView zoomScaleNormal="100" workbookViewId="0">
      <selection activeCell="H12" sqref="H12"/>
    </sheetView>
  </sheetViews>
  <sheetFormatPr baseColWidth="10" defaultColWidth="12.6640625" defaultRowHeight="15"/>
  <cols>
    <col min="1" max="1" width="21.6640625" style="19" bestFit="1" customWidth="1"/>
    <col min="2" max="2" width="28.1640625" style="19" bestFit="1" customWidth="1"/>
    <col min="3" max="3" width="44.1640625" style="19" bestFit="1" customWidth="1"/>
    <col min="4" max="4" width="11.1640625" style="19" bestFit="1" customWidth="1"/>
    <col min="5" max="5" width="11.83203125" style="19" customWidth="1"/>
    <col min="6" max="6" width="22.1640625" style="19" bestFit="1" customWidth="1"/>
    <col min="7" max="7" width="5.6640625" style="19" bestFit="1" customWidth="1"/>
    <col min="8" max="8" width="14.83203125" style="19" bestFit="1" customWidth="1"/>
    <col min="9" max="9" width="5.83203125" style="19" bestFit="1" customWidth="1"/>
    <col min="10" max="10" width="8.5" style="19" bestFit="1" customWidth="1"/>
    <col min="11" max="11" width="11" style="19" customWidth="1"/>
    <col min="12" max="16384" width="12.6640625" style="19"/>
  </cols>
  <sheetData>
    <row r="1" spans="1:10" ht="19" thickBot="1">
      <c r="A1" s="321" t="s">
        <v>42</v>
      </c>
      <c r="B1" s="322"/>
      <c r="C1" s="322"/>
      <c r="D1" s="322"/>
      <c r="E1" s="322"/>
      <c r="F1" s="322"/>
      <c r="G1" s="322"/>
      <c r="H1" s="322"/>
      <c r="I1" s="322"/>
      <c r="J1" s="323"/>
    </row>
    <row r="2" spans="1:10">
      <c r="A2" s="17" t="s">
        <v>43</v>
      </c>
      <c r="B2" s="18" t="s">
        <v>44</v>
      </c>
      <c r="C2" s="18" t="s">
        <v>45</v>
      </c>
      <c r="D2" s="18" t="s">
        <v>11</v>
      </c>
      <c r="E2" s="18" t="s">
        <v>12</v>
      </c>
      <c r="F2" s="18" t="s">
        <v>13</v>
      </c>
      <c r="G2" s="18" t="s">
        <v>14</v>
      </c>
      <c r="H2" s="18" t="s">
        <v>46</v>
      </c>
      <c r="I2" s="18" t="s">
        <v>15</v>
      </c>
      <c r="J2" s="20" t="s">
        <v>16</v>
      </c>
    </row>
    <row r="3" spans="1:10">
      <c r="A3" s="99" t="s">
        <v>98</v>
      </c>
      <c r="B3" s="100" t="s">
        <v>99</v>
      </c>
      <c r="C3" s="99" t="s">
        <v>100</v>
      </c>
      <c r="D3" s="100" t="s">
        <v>101</v>
      </c>
      <c r="E3" s="99" t="s">
        <v>102</v>
      </c>
      <c r="F3" s="99" t="s">
        <v>103</v>
      </c>
      <c r="G3" s="99" t="s">
        <v>104</v>
      </c>
      <c r="H3" s="99" t="s">
        <v>105</v>
      </c>
      <c r="I3" s="101" t="str">
        <f>MID(C3,FIND("]",C3)+2,FIND("vCPU",C3)-(FIND("]",C3)+2))</f>
        <v>4</v>
      </c>
      <c r="J3" s="101" t="str">
        <f>MID(C3,FIND(",",C3)+2,FIND("GB",C3)-(FIND(",",C3)+2))</f>
        <v>16</v>
      </c>
    </row>
  </sheetData>
  <autoFilter ref="A2:J2" xr:uid="{00000000-0009-0000-0000-000002000000}"/>
  <mergeCells count="1">
    <mergeCell ref="A1:J1"/>
  </mergeCells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B3F1-DD34-4082-9BCA-E3F2CBED6259}">
  <sheetPr codeName="Sheet4">
    <outlinePr summaryBelow="0" summaryRight="0"/>
  </sheetPr>
  <dimension ref="B1:O367"/>
  <sheetViews>
    <sheetView tabSelected="1" topLeftCell="B1" zoomScale="140" zoomScaleNormal="140" workbookViewId="0">
      <pane ySplit="1" topLeftCell="A29" activePane="bottomLeft" state="frozen"/>
      <selection pane="bottomLeft" activeCell="B253" sqref="B253:B254"/>
    </sheetView>
  </sheetViews>
  <sheetFormatPr baseColWidth="10" defaultColWidth="12.6640625" defaultRowHeight="17"/>
  <cols>
    <col min="1" max="1" width="3" style="71" customWidth="1"/>
    <col min="2" max="2" width="23" style="71" customWidth="1"/>
    <col min="3" max="3" width="19.33203125" style="71" customWidth="1"/>
    <col min="4" max="4" width="25.83203125" style="124" customWidth="1"/>
    <col min="5" max="5" width="28" style="124" bestFit="1" customWidth="1"/>
    <col min="6" max="6" width="20" style="156" customWidth="1"/>
    <col min="7" max="7" width="28.6640625" style="71" customWidth="1"/>
    <col min="8" max="8" width="23.1640625" style="71" customWidth="1"/>
    <col min="9" max="9" width="19" style="71" customWidth="1"/>
    <col min="10" max="10" width="34.83203125" style="71" customWidth="1"/>
    <col min="11" max="11" width="16.6640625" style="71" customWidth="1"/>
    <col min="12" max="12" width="36.33203125" style="71" customWidth="1"/>
    <col min="13" max="13" width="13.83203125" style="71" bestFit="1" customWidth="1"/>
    <col min="14" max="14" width="59.1640625" style="71" bestFit="1" customWidth="1"/>
    <col min="15" max="15" width="42.5" style="71" bestFit="1" customWidth="1"/>
    <col min="16" max="32" width="11" style="71" customWidth="1"/>
    <col min="33" max="16384" width="12.6640625" style="71"/>
  </cols>
  <sheetData>
    <row r="1" spans="2:12" ht="27" customHeight="1" thickBot="1">
      <c r="B1" s="234" t="s">
        <v>279</v>
      </c>
      <c r="C1" s="235" t="s">
        <v>106</v>
      </c>
      <c r="D1" s="236" t="s">
        <v>107</v>
      </c>
      <c r="E1" s="236" t="s">
        <v>108</v>
      </c>
      <c r="F1" s="237" t="s">
        <v>109</v>
      </c>
      <c r="G1" s="236" t="s">
        <v>110</v>
      </c>
      <c r="H1" s="236" t="s">
        <v>111</v>
      </c>
      <c r="I1" s="237" t="s">
        <v>112</v>
      </c>
      <c r="J1" s="237" t="s">
        <v>113</v>
      </c>
      <c r="K1" s="237" t="s">
        <v>114</v>
      </c>
      <c r="L1" s="238" t="s">
        <v>310</v>
      </c>
    </row>
    <row r="2" spans="2:12" ht="21" customHeight="1">
      <c r="B2" s="324" t="s">
        <v>183</v>
      </c>
      <c r="C2" s="410" t="s">
        <v>280</v>
      </c>
      <c r="D2" s="413" t="s">
        <v>273</v>
      </c>
      <c r="E2" s="336" t="s">
        <v>241</v>
      </c>
      <c r="F2" s="149" t="s">
        <v>147</v>
      </c>
      <c r="G2" s="127" t="s">
        <v>148</v>
      </c>
      <c r="H2" s="128" t="s">
        <v>149</v>
      </c>
      <c r="I2" s="128" t="s">
        <v>299</v>
      </c>
      <c r="J2" s="128" t="s">
        <v>151</v>
      </c>
      <c r="K2" s="148" t="s">
        <v>115</v>
      </c>
      <c r="L2" s="360" t="s">
        <v>304</v>
      </c>
    </row>
    <row r="3" spans="2:12">
      <c r="B3" s="325"/>
      <c r="C3" s="411"/>
      <c r="D3" s="414"/>
      <c r="E3" s="337"/>
      <c r="F3" s="150" t="s">
        <v>156</v>
      </c>
      <c r="G3" s="117" t="s">
        <v>152</v>
      </c>
      <c r="H3" s="116" t="s">
        <v>149</v>
      </c>
      <c r="I3" s="116" t="s">
        <v>299</v>
      </c>
      <c r="J3" s="116" t="s">
        <v>151</v>
      </c>
      <c r="K3" s="118" t="s">
        <v>115</v>
      </c>
      <c r="L3" s="361"/>
    </row>
    <row r="4" spans="2:12">
      <c r="B4" s="325"/>
      <c r="C4" s="411"/>
      <c r="D4" s="414"/>
      <c r="E4" s="337"/>
      <c r="F4" s="150" t="s">
        <v>157</v>
      </c>
      <c r="G4" s="117" t="s">
        <v>153</v>
      </c>
      <c r="H4" s="116" t="s">
        <v>149</v>
      </c>
      <c r="I4" s="116" t="s">
        <v>299</v>
      </c>
      <c r="J4" s="116" t="s">
        <v>151</v>
      </c>
      <c r="K4" s="118" t="s">
        <v>115</v>
      </c>
      <c r="L4" s="361"/>
    </row>
    <row r="5" spans="2:12">
      <c r="B5" s="325"/>
      <c r="C5" s="411"/>
      <c r="D5" s="414"/>
      <c r="E5" s="337"/>
      <c r="F5" s="150" t="s">
        <v>158</v>
      </c>
      <c r="G5" s="117" t="s">
        <v>154</v>
      </c>
      <c r="H5" s="116" t="s">
        <v>149</v>
      </c>
      <c r="I5" s="116" t="s">
        <v>299</v>
      </c>
      <c r="J5" s="116" t="s">
        <v>151</v>
      </c>
      <c r="K5" s="118" t="s">
        <v>115</v>
      </c>
      <c r="L5" s="361"/>
    </row>
    <row r="6" spans="2:12">
      <c r="B6" s="325"/>
      <c r="C6" s="411"/>
      <c r="D6" s="414"/>
      <c r="E6" s="337"/>
      <c r="F6" s="150" t="s">
        <v>159</v>
      </c>
      <c r="G6" s="117" t="s">
        <v>155</v>
      </c>
      <c r="H6" s="116" t="s">
        <v>149</v>
      </c>
      <c r="I6" s="116" t="s">
        <v>299</v>
      </c>
      <c r="J6" s="116" t="s">
        <v>151</v>
      </c>
      <c r="K6" s="118" t="s">
        <v>115</v>
      </c>
      <c r="L6" s="361"/>
    </row>
    <row r="7" spans="2:12">
      <c r="B7" s="325"/>
      <c r="C7" s="411"/>
      <c r="D7" s="414"/>
      <c r="E7" s="337"/>
      <c r="F7" s="222" t="s">
        <v>161</v>
      </c>
      <c r="G7" s="223" t="s">
        <v>160</v>
      </c>
      <c r="H7" s="224" t="s">
        <v>176</v>
      </c>
      <c r="I7" s="224" t="s">
        <v>172</v>
      </c>
      <c r="J7" s="116" t="s">
        <v>175</v>
      </c>
      <c r="K7" s="118" t="s">
        <v>115</v>
      </c>
      <c r="L7" s="361"/>
    </row>
    <row r="8" spans="2:12">
      <c r="B8" s="325"/>
      <c r="C8" s="411"/>
      <c r="D8" s="414"/>
      <c r="E8" s="337"/>
      <c r="F8" s="222" t="s">
        <v>163</v>
      </c>
      <c r="G8" s="223" t="s">
        <v>162</v>
      </c>
      <c r="H8" s="224" t="s">
        <v>176</v>
      </c>
      <c r="I8" s="224" t="s">
        <v>172</v>
      </c>
      <c r="J8" s="116" t="s">
        <v>175</v>
      </c>
      <c r="K8" s="118" t="s">
        <v>115</v>
      </c>
      <c r="L8" s="361"/>
    </row>
    <row r="9" spans="2:12">
      <c r="B9" s="325"/>
      <c r="C9" s="411"/>
      <c r="D9" s="414"/>
      <c r="E9" s="337"/>
      <c r="F9" s="222" t="s">
        <v>165</v>
      </c>
      <c r="G9" s="223" t="s">
        <v>164</v>
      </c>
      <c r="H9" s="224" t="s">
        <v>176</v>
      </c>
      <c r="I9" s="224" t="s">
        <v>172</v>
      </c>
      <c r="J9" s="116" t="s">
        <v>175</v>
      </c>
      <c r="K9" s="118" t="s">
        <v>115</v>
      </c>
      <c r="L9" s="361"/>
    </row>
    <row r="10" spans="2:12">
      <c r="B10" s="325"/>
      <c r="C10" s="411"/>
      <c r="D10" s="414"/>
      <c r="E10" s="337"/>
      <c r="F10" s="225" t="s">
        <v>167</v>
      </c>
      <c r="G10" s="226" t="s">
        <v>166</v>
      </c>
      <c r="H10" s="227" t="s">
        <v>177</v>
      </c>
      <c r="I10" s="224" t="s">
        <v>173</v>
      </c>
      <c r="J10" s="122" t="s">
        <v>174</v>
      </c>
      <c r="K10" s="118" t="s">
        <v>115</v>
      </c>
      <c r="L10" s="361"/>
    </row>
    <row r="11" spans="2:12">
      <c r="B11" s="325"/>
      <c r="C11" s="411"/>
      <c r="D11" s="414"/>
      <c r="E11" s="337"/>
      <c r="F11" s="225" t="s">
        <v>169</v>
      </c>
      <c r="G11" s="226" t="s">
        <v>168</v>
      </c>
      <c r="H11" s="227" t="s">
        <v>177</v>
      </c>
      <c r="I11" s="224" t="s">
        <v>173</v>
      </c>
      <c r="J11" s="122" t="s">
        <v>174</v>
      </c>
      <c r="K11" s="118" t="s">
        <v>115</v>
      </c>
      <c r="L11" s="361"/>
    </row>
    <row r="12" spans="2:12">
      <c r="B12" s="325"/>
      <c r="C12" s="411"/>
      <c r="D12" s="414"/>
      <c r="E12" s="337"/>
      <c r="F12" s="225" t="s">
        <v>171</v>
      </c>
      <c r="G12" s="226" t="s">
        <v>170</v>
      </c>
      <c r="H12" s="227" t="s">
        <v>177</v>
      </c>
      <c r="I12" s="224" t="s">
        <v>173</v>
      </c>
      <c r="J12" s="122" t="s">
        <v>174</v>
      </c>
      <c r="K12" s="118" t="s">
        <v>115</v>
      </c>
      <c r="L12" s="361"/>
    </row>
    <row r="13" spans="2:12" ht="18" thickBot="1">
      <c r="B13" s="325"/>
      <c r="C13" s="412"/>
      <c r="D13" s="415"/>
      <c r="E13" s="338"/>
      <c r="F13" s="228"/>
      <c r="G13" s="233" t="s">
        <v>300</v>
      </c>
      <c r="H13" s="134" t="s">
        <v>301</v>
      </c>
      <c r="I13" s="134" t="s">
        <v>302</v>
      </c>
      <c r="J13" s="134" t="s">
        <v>303</v>
      </c>
      <c r="K13" s="232" t="s">
        <v>115</v>
      </c>
      <c r="L13" s="362"/>
    </row>
    <row r="14" spans="2:12">
      <c r="B14" s="325"/>
      <c r="C14" s="410" t="s">
        <v>178</v>
      </c>
      <c r="D14" s="413" t="s">
        <v>274</v>
      </c>
      <c r="E14" s="336" t="s">
        <v>242</v>
      </c>
      <c r="F14" s="149" t="s">
        <v>147</v>
      </c>
      <c r="G14" s="127" t="s">
        <v>148</v>
      </c>
      <c r="H14" s="128" t="s">
        <v>149</v>
      </c>
      <c r="I14" s="128" t="s">
        <v>299</v>
      </c>
      <c r="J14" s="128" t="s">
        <v>151</v>
      </c>
      <c r="K14" s="148" t="s">
        <v>115</v>
      </c>
      <c r="L14" s="360" t="s">
        <v>304</v>
      </c>
    </row>
    <row r="15" spans="2:12">
      <c r="B15" s="325"/>
      <c r="C15" s="411"/>
      <c r="D15" s="414"/>
      <c r="E15" s="337"/>
      <c r="F15" s="150" t="s">
        <v>156</v>
      </c>
      <c r="G15" s="117" t="s">
        <v>152</v>
      </c>
      <c r="H15" s="116" t="s">
        <v>149</v>
      </c>
      <c r="I15" s="116" t="s">
        <v>299</v>
      </c>
      <c r="J15" s="116" t="s">
        <v>151</v>
      </c>
      <c r="K15" s="118" t="s">
        <v>115</v>
      </c>
      <c r="L15" s="361"/>
    </row>
    <row r="16" spans="2:12">
      <c r="B16" s="325"/>
      <c r="C16" s="411"/>
      <c r="D16" s="414"/>
      <c r="E16" s="337"/>
      <c r="F16" s="150" t="s">
        <v>157</v>
      </c>
      <c r="G16" s="117" t="s">
        <v>153</v>
      </c>
      <c r="H16" s="116" t="s">
        <v>149</v>
      </c>
      <c r="I16" s="116" t="s">
        <v>299</v>
      </c>
      <c r="J16" s="116" t="s">
        <v>151</v>
      </c>
      <c r="K16" s="118" t="s">
        <v>115</v>
      </c>
      <c r="L16" s="361"/>
    </row>
    <row r="17" spans="2:12">
      <c r="B17" s="325"/>
      <c r="C17" s="411"/>
      <c r="D17" s="414"/>
      <c r="E17" s="337"/>
      <c r="F17" s="150" t="s">
        <v>158</v>
      </c>
      <c r="G17" s="117" t="s">
        <v>154</v>
      </c>
      <c r="H17" s="116" t="s">
        <v>149</v>
      </c>
      <c r="I17" s="116" t="s">
        <v>299</v>
      </c>
      <c r="J17" s="116" t="s">
        <v>151</v>
      </c>
      <c r="K17" s="118" t="s">
        <v>115</v>
      </c>
      <c r="L17" s="361"/>
    </row>
    <row r="18" spans="2:12">
      <c r="B18" s="325"/>
      <c r="C18" s="411"/>
      <c r="D18" s="414"/>
      <c r="E18" s="337"/>
      <c r="F18" s="150" t="s">
        <v>159</v>
      </c>
      <c r="G18" s="117" t="s">
        <v>155</v>
      </c>
      <c r="H18" s="116" t="s">
        <v>149</v>
      </c>
      <c r="I18" s="116" t="s">
        <v>299</v>
      </c>
      <c r="J18" s="116" t="s">
        <v>151</v>
      </c>
      <c r="K18" s="118" t="s">
        <v>115</v>
      </c>
      <c r="L18" s="361"/>
    </row>
    <row r="19" spans="2:12">
      <c r="B19" s="325"/>
      <c r="C19" s="411"/>
      <c r="D19" s="414"/>
      <c r="E19" s="337"/>
      <c r="F19" s="222" t="s">
        <v>161</v>
      </c>
      <c r="G19" s="223" t="s">
        <v>160</v>
      </c>
      <c r="H19" s="224" t="s">
        <v>176</v>
      </c>
      <c r="I19" s="224" t="s">
        <v>172</v>
      </c>
      <c r="J19" s="116" t="s">
        <v>175</v>
      </c>
      <c r="K19" s="118" t="s">
        <v>115</v>
      </c>
      <c r="L19" s="361"/>
    </row>
    <row r="20" spans="2:12">
      <c r="B20" s="325"/>
      <c r="C20" s="411"/>
      <c r="D20" s="414"/>
      <c r="E20" s="337"/>
      <c r="F20" s="222" t="s">
        <v>163</v>
      </c>
      <c r="G20" s="223" t="s">
        <v>162</v>
      </c>
      <c r="H20" s="224" t="s">
        <v>176</v>
      </c>
      <c r="I20" s="224" t="s">
        <v>172</v>
      </c>
      <c r="J20" s="116" t="s">
        <v>175</v>
      </c>
      <c r="K20" s="118" t="s">
        <v>115</v>
      </c>
      <c r="L20" s="361"/>
    </row>
    <row r="21" spans="2:12">
      <c r="B21" s="325"/>
      <c r="C21" s="411"/>
      <c r="D21" s="414"/>
      <c r="E21" s="337"/>
      <c r="F21" s="222" t="s">
        <v>165</v>
      </c>
      <c r="G21" s="223" t="s">
        <v>164</v>
      </c>
      <c r="H21" s="224" t="s">
        <v>176</v>
      </c>
      <c r="I21" s="224" t="s">
        <v>172</v>
      </c>
      <c r="J21" s="116" t="s">
        <v>175</v>
      </c>
      <c r="K21" s="118" t="s">
        <v>115</v>
      </c>
      <c r="L21" s="361"/>
    </row>
    <row r="22" spans="2:12">
      <c r="B22" s="325"/>
      <c r="C22" s="411"/>
      <c r="D22" s="414"/>
      <c r="E22" s="337"/>
      <c r="F22" s="225" t="s">
        <v>167</v>
      </c>
      <c r="G22" s="226" t="s">
        <v>166</v>
      </c>
      <c r="H22" s="227" t="s">
        <v>177</v>
      </c>
      <c r="I22" s="224" t="s">
        <v>173</v>
      </c>
      <c r="J22" s="122" t="s">
        <v>174</v>
      </c>
      <c r="K22" s="118" t="s">
        <v>115</v>
      </c>
      <c r="L22" s="361"/>
    </row>
    <row r="23" spans="2:12">
      <c r="B23" s="325"/>
      <c r="C23" s="411"/>
      <c r="D23" s="414"/>
      <c r="E23" s="337"/>
      <c r="F23" s="225" t="s">
        <v>169</v>
      </c>
      <c r="G23" s="226" t="s">
        <v>168</v>
      </c>
      <c r="H23" s="227" t="s">
        <v>177</v>
      </c>
      <c r="I23" s="224" t="s">
        <v>173</v>
      </c>
      <c r="J23" s="122" t="s">
        <v>174</v>
      </c>
      <c r="K23" s="118" t="s">
        <v>115</v>
      </c>
      <c r="L23" s="361"/>
    </row>
    <row r="24" spans="2:12">
      <c r="B24" s="325"/>
      <c r="C24" s="411"/>
      <c r="D24" s="414"/>
      <c r="E24" s="337"/>
      <c r="F24" s="225" t="s">
        <v>171</v>
      </c>
      <c r="G24" s="226" t="s">
        <v>170</v>
      </c>
      <c r="H24" s="227" t="s">
        <v>177</v>
      </c>
      <c r="I24" s="224" t="s">
        <v>173</v>
      </c>
      <c r="J24" s="122" t="s">
        <v>174</v>
      </c>
      <c r="K24" s="118" t="s">
        <v>115</v>
      </c>
      <c r="L24" s="361"/>
    </row>
    <row r="25" spans="2:12" ht="18" thickBot="1">
      <c r="B25" s="325"/>
      <c r="C25" s="412"/>
      <c r="D25" s="415"/>
      <c r="E25" s="338"/>
      <c r="F25" s="228"/>
      <c r="G25" s="233" t="s">
        <v>300</v>
      </c>
      <c r="H25" s="134" t="s">
        <v>301</v>
      </c>
      <c r="I25" s="134" t="s">
        <v>302</v>
      </c>
      <c r="J25" s="134" t="s">
        <v>303</v>
      </c>
      <c r="K25" s="232" t="s">
        <v>115</v>
      </c>
      <c r="L25" s="362"/>
    </row>
    <row r="26" spans="2:12" ht="21" customHeight="1">
      <c r="B26" s="325"/>
      <c r="C26" s="416" t="s">
        <v>307</v>
      </c>
      <c r="D26" s="419" t="s">
        <v>305</v>
      </c>
      <c r="E26" s="422" t="s">
        <v>308</v>
      </c>
      <c r="F26" s="259" t="s">
        <v>147</v>
      </c>
      <c r="G26" s="260" t="s">
        <v>148</v>
      </c>
      <c r="H26" s="261" t="s">
        <v>149</v>
      </c>
      <c r="I26" s="261" t="s">
        <v>306</v>
      </c>
      <c r="J26" s="261" t="s">
        <v>151</v>
      </c>
      <c r="K26" s="258" t="s">
        <v>115</v>
      </c>
      <c r="L26" s="358" t="s">
        <v>309</v>
      </c>
    </row>
    <row r="27" spans="2:12">
      <c r="B27" s="325"/>
      <c r="C27" s="417"/>
      <c r="D27" s="420"/>
      <c r="E27" s="423"/>
      <c r="F27" s="263" t="s">
        <v>156</v>
      </c>
      <c r="G27" s="264" t="s">
        <v>152</v>
      </c>
      <c r="H27" s="265" t="s">
        <v>149</v>
      </c>
      <c r="I27" s="265" t="s">
        <v>306</v>
      </c>
      <c r="J27" s="265" t="s">
        <v>151</v>
      </c>
      <c r="K27" s="262" t="s">
        <v>115</v>
      </c>
      <c r="L27" s="359"/>
    </row>
    <row r="28" spans="2:12">
      <c r="B28" s="325"/>
      <c r="C28" s="417"/>
      <c r="D28" s="420"/>
      <c r="E28" s="423"/>
      <c r="F28" s="263" t="s">
        <v>157</v>
      </c>
      <c r="G28" s="264" t="s">
        <v>153</v>
      </c>
      <c r="H28" s="265" t="s">
        <v>149</v>
      </c>
      <c r="I28" s="265" t="s">
        <v>306</v>
      </c>
      <c r="J28" s="265" t="s">
        <v>151</v>
      </c>
      <c r="K28" s="262" t="s">
        <v>115</v>
      </c>
      <c r="L28" s="359"/>
    </row>
    <row r="29" spans="2:12">
      <c r="B29" s="325"/>
      <c r="C29" s="417"/>
      <c r="D29" s="420"/>
      <c r="E29" s="423"/>
      <c r="F29" s="263" t="s">
        <v>158</v>
      </c>
      <c r="G29" s="264" t="s">
        <v>154</v>
      </c>
      <c r="H29" s="265" t="s">
        <v>149</v>
      </c>
      <c r="I29" s="265" t="s">
        <v>306</v>
      </c>
      <c r="J29" s="265" t="s">
        <v>151</v>
      </c>
      <c r="K29" s="262" t="s">
        <v>115</v>
      </c>
      <c r="L29" s="359"/>
    </row>
    <row r="30" spans="2:12">
      <c r="B30" s="325"/>
      <c r="C30" s="417"/>
      <c r="D30" s="420"/>
      <c r="E30" s="423"/>
      <c r="F30" s="263" t="s">
        <v>159</v>
      </c>
      <c r="G30" s="264" t="s">
        <v>155</v>
      </c>
      <c r="H30" s="265" t="s">
        <v>149</v>
      </c>
      <c r="I30" s="265" t="s">
        <v>306</v>
      </c>
      <c r="J30" s="265" t="s">
        <v>151</v>
      </c>
      <c r="K30" s="262" t="s">
        <v>115</v>
      </c>
      <c r="L30" s="359"/>
    </row>
    <row r="31" spans="2:12" ht="18" thickBot="1">
      <c r="B31" s="326"/>
      <c r="C31" s="418"/>
      <c r="D31" s="421"/>
      <c r="E31" s="424"/>
      <c r="F31" s="267"/>
      <c r="G31" s="268" t="s">
        <v>300</v>
      </c>
      <c r="H31" s="269" t="s">
        <v>301</v>
      </c>
      <c r="I31" s="269" t="s">
        <v>302</v>
      </c>
      <c r="J31" s="269" t="s">
        <v>303</v>
      </c>
      <c r="K31" s="266" t="s">
        <v>115</v>
      </c>
      <c r="L31" s="359"/>
    </row>
    <row r="32" spans="2:12" ht="18" customHeight="1">
      <c r="B32" s="324" t="s">
        <v>342</v>
      </c>
      <c r="C32" s="243" t="s">
        <v>312</v>
      </c>
      <c r="D32" s="244" t="s">
        <v>313</v>
      </c>
      <c r="E32" s="355" t="s">
        <v>314</v>
      </c>
      <c r="F32" s="342" t="s">
        <v>240</v>
      </c>
      <c r="G32" s="345" t="s">
        <v>341</v>
      </c>
      <c r="H32" s="336" t="s">
        <v>343</v>
      </c>
      <c r="I32" s="336" t="s">
        <v>344</v>
      </c>
      <c r="J32" s="349" t="s">
        <v>345</v>
      </c>
      <c r="K32" s="336" t="s">
        <v>346</v>
      </c>
      <c r="L32" s="339" t="s">
        <v>347</v>
      </c>
    </row>
    <row r="33" spans="2:12">
      <c r="B33" s="325"/>
      <c r="C33" s="245" t="s">
        <v>315</v>
      </c>
      <c r="D33" s="242" t="s">
        <v>316</v>
      </c>
      <c r="E33" s="356"/>
      <c r="F33" s="343"/>
      <c r="G33" s="346"/>
      <c r="H33" s="337"/>
      <c r="I33" s="337"/>
      <c r="J33" s="350"/>
      <c r="K33" s="337"/>
      <c r="L33" s="340"/>
    </row>
    <row r="34" spans="2:12">
      <c r="B34" s="325"/>
      <c r="C34" s="245" t="s">
        <v>317</v>
      </c>
      <c r="D34" s="242" t="s">
        <v>318</v>
      </c>
      <c r="E34" s="356"/>
      <c r="F34" s="343"/>
      <c r="G34" s="346"/>
      <c r="H34" s="337"/>
      <c r="I34" s="337"/>
      <c r="J34" s="350"/>
      <c r="K34" s="337"/>
      <c r="L34" s="340"/>
    </row>
    <row r="35" spans="2:12">
      <c r="B35" s="325"/>
      <c r="C35" s="245" t="s">
        <v>319</v>
      </c>
      <c r="D35" s="242" t="s">
        <v>320</v>
      </c>
      <c r="E35" s="356"/>
      <c r="F35" s="343"/>
      <c r="G35" s="346"/>
      <c r="H35" s="337"/>
      <c r="I35" s="337"/>
      <c r="J35" s="350"/>
      <c r="K35" s="337"/>
      <c r="L35" s="340"/>
    </row>
    <row r="36" spans="2:12">
      <c r="B36" s="325"/>
      <c r="C36" s="245" t="s">
        <v>321</v>
      </c>
      <c r="D36" s="242" t="s">
        <v>322</v>
      </c>
      <c r="E36" s="356"/>
      <c r="F36" s="343"/>
      <c r="G36" s="346"/>
      <c r="H36" s="337"/>
      <c r="I36" s="337"/>
      <c r="J36" s="350"/>
      <c r="K36" s="337"/>
      <c r="L36" s="340"/>
    </row>
    <row r="37" spans="2:12">
      <c r="B37" s="325"/>
      <c r="C37" s="245" t="s">
        <v>323</v>
      </c>
      <c r="D37" s="242" t="s">
        <v>324</v>
      </c>
      <c r="E37" s="356"/>
      <c r="F37" s="343"/>
      <c r="G37" s="346"/>
      <c r="H37" s="337"/>
      <c r="I37" s="337"/>
      <c r="J37" s="350"/>
      <c r="K37" s="337"/>
      <c r="L37" s="340"/>
    </row>
    <row r="38" spans="2:12">
      <c r="B38" s="325"/>
      <c r="C38" s="245" t="s">
        <v>325</v>
      </c>
      <c r="D38" s="242" t="s">
        <v>326</v>
      </c>
      <c r="E38" s="356"/>
      <c r="F38" s="343"/>
      <c r="G38" s="346"/>
      <c r="H38" s="337"/>
      <c r="I38" s="337"/>
      <c r="J38" s="350"/>
      <c r="K38" s="337"/>
      <c r="L38" s="340"/>
    </row>
    <row r="39" spans="2:12">
      <c r="B39" s="325"/>
      <c r="C39" s="245" t="s">
        <v>327</v>
      </c>
      <c r="D39" s="242" t="s">
        <v>328</v>
      </c>
      <c r="E39" s="356"/>
      <c r="F39" s="343"/>
      <c r="G39" s="346"/>
      <c r="H39" s="337"/>
      <c r="I39" s="337"/>
      <c r="J39" s="350"/>
      <c r="K39" s="337"/>
      <c r="L39" s="340"/>
    </row>
    <row r="40" spans="2:12">
      <c r="B40" s="325"/>
      <c r="C40" s="245" t="s">
        <v>329</v>
      </c>
      <c r="D40" s="242" t="s">
        <v>330</v>
      </c>
      <c r="E40" s="356"/>
      <c r="F40" s="343"/>
      <c r="G40" s="346"/>
      <c r="H40" s="337"/>
      <c r="I40" s="337"/>
      <c r="J40" s="350"/>
      <c r="K40" s="337"/>
      <c r="L40" s="340"/>
    </row>
    <row r="41" spans="2:12">
      <c r="B41" s="325"/>
      <c r="C41" s="245" t="s">
        <v>331</v>
      </c>
      <c r="D41" s="242" t="s">
        <v>332</v>
      </c>
      <c r="E41" s="356"/>
      <c r="F41" s="343"/>
      <c r="G41" s="346"/>
      <c r="H41" s="337"/>
      <c r="I41" s="337"/>
      <c r="J41" s="350"/>
      <c r="K41" s="337"/>
      <c r="L41" s="340"/>
    </row>
    <row r="42" spans="2:12">
      <c r="B42" s="325"/>
      <c r="C42" s="245" t="s">
        <v>333</v>
      </c>
      <c r="D42" s="242" t="s">
        <v>334</v>
      </c>
      <c r="E42" s="356"/>
      <c r="F42" s="343"/>
      <c r="G42" s="346"/>
      <c r="H42" s="337"/>
      <c r="I42" s="337"/>
      <c r="J42" s="350"/>
      <c r="K42" s="337"/>
      <c r="L42" s="340"/>
    </row>
    <row r="43" spans="2:12">
      <c r="B43" s="325"/>
      <c r="C43" s="245" t="s">
        <v>335</v>
      </c>
      <c r="D43" s="242" t="s">
        <v>336</v>
      </c>
      <c r="E43" s="356"/>
      <c r="F43" s="343"/>
      <c r="G43" s="346"/>
      <c r="H43" s="337"/>
      <c r="I43" s="337"/>
      <c r="J43" s="350"/>
      <c r="K43" s="337"/>
      <c r="L43" s="340"/>
    </row>
    <row r="44" spans="2:12">
      <c r="B44" s="325"/>
      <c r="C44" s="245" t="s">
        <v>337</v>
      </c>
      <c r="D44" s="242" t="s">
        <v>338</v>
      </c>
      <c r="E44" s="356"/>
      <c r="F44" s="343"/>
      <c r="G44" s="346"/>
      <c r="H44" s="337"/>
      <c r="I44" s="337"/>
      <c r="J44" s="350"/>
      <c r="K44" s="337"/>
      <c r="L44" s="340"/>
    </row>
    <row r="45" spans="2:12" ht="18" thickBot="1">
      <c r="B45" s="325"/>
      <c r="C45" s="246" t="s">
        <v>339</v>
      </c>
      <c r="D45" s="247" t="s">
        <v>340</v>
      </c>
      <c r="E45" s="357"/>
      <c r="F45" s="344"/>
      <c r="G45" s="347"/>
      <c r="H45" s="348"/>
      <c r="I45" s="348"/>
      <c r="J45" s="351"/>
      <c r="K45" s="348"/>
      <c r="L45" s="352"/>
    </row>
    <row r="46" spans="2:12" ht="18" customHeight="1">
      <c r="B46" s="325"/>
      <c r="C46" s="243" t="s">
        <v>312</v>
      </c>
      <c r="D46" s="244" t="s">
        <v>313</v>
      </c>
      <c r="E46" s="355" t="s">
        <v>355</v>
      </c>
      <c r="F46" s="353" t="s">
        <v>348</v>
      </c>
      <c r="G46" s="354" t="s">
        <v>349</v>
      </c>
      <c r="H46" s="336" t="s">
        <v>360</v>
      </c>
      <c r="I46" s="336" t="s">
        <v>350</v>
      </c>
      <c r="J46" s="349" t="s">
        <v>351</v>
      </c>
      <c r="K46" s="336" t="s">
        <v>346</v>
      </c>
      <c r="L46" s="339" t="s">
        <v>352</v>
      </c>
    </row>
    <row r="47" spans="2:12">
      <c r="B47" s="325"/>
      <c r="C47" s="245" t="s">
        <v>315</v>
      </c>
      <c r="D47" s="242" t="s">
        <v>316</v>
      </c>
      <c r="E47" s="356"/>
      <c r="F47" s="343"/>
      <c r="G47" s="346"/>
      <c r="H47" s="337"/>
      <c r="I47" s="337"/>
      <c r="J47" s="350"/>
      <c r="K47" s="337"/>
      <c r="L47" s="340"/>
    </row>
    <row r="48" spans="2:12">
      <c r="B48" s="325"/>
      <c r="C48" s="245" t="s">
        <v>317</v>
      </c>
      <c r="D48" s="242" t="s">
        <v>318</v>
      </c>
      <c r="E48" s="356"/>
      <c r="F48" s="343"/>
      <c r="G48" s="346"/>
      <c r="H48" s="337"/>
      <c r="I48" s="337"/>
      <c r="J48" s="350"/>
      <c r="K48" s="337"/>
      <c r="L48" s="340"/>
    </row>
    <row r="49" spans="2:12">
      <c r="B49" s="325"/>
      <c r="C49" s="245" t="s">
        <v>319</v>
      </c>
      <c r="D49" s="242" t="s">
        <v>320</v>
      </c>
      <c r="E49" s="356"/>
      <c r="F49" s="343"/>
      <c r="G49" s="346"/>
      <c r="H49" s="337"/>
      <c r="I49" s="337"/>
      <c r="J49" s="350"/>
      <c r="K49" s="337"/>
      <c r="L49" s="340"/>
    </row>
    <row r="50" spans="2:12">
      <c r="B50" s="325"/>
      <c r="C50" s="245" t="s">
        <v>321</v>
      </c>
      <c r="D50" s="242" t="s">
        <v>322</v>
      </c>
      <c r="E50" s="356"/>
      <c r="F50" s="343"/>
      <c r="G50" s="346"/>
      <c r="H50" s="337"/>
      <c r="I50" s="337"/>
      <c r="J50" s="350"/>
      <c r="K50" s="337"/>
      <c r="L50" s="340"/>
    </row>
    <row r="51" spans="2:12">
      <c r="B51" s="325"/>
      <c r="C51" s="245" t="s">
        <v>323</v>
      </c>
      <c r="D51" s="242" t="s">
        <v>324</v>
      </c>
      <c r="E51" s="356"/>
      <c r="F51" s="343"/>
      <c r="G51" s="346"/>
      <c r="H51" s="337"/>
      <c r="I51" s="337"/>
      <c r="J51" s="350"/>
      <c r="K51" s="337"/>
      <c r="L51" s="340"/>
    </row>
    <row r="52" spans="2:12">
      <c r="B52" s="325"/>
      <c r="C52" s="245" t="s">
        <v>325</v>
      </c>
      <c r="D52" s="242" t="s">
        <v>326</v>
      </c>
      <c r="E52" s="356"/>
      <c r="F52" s="343"/>
      <c r="G52" s="346"/>
      <c r="H52" s="337"/>
      <c r="I52" s="337"/>
      <c r="J52" s="350"/>
      <c r="K52" s="337"/>
      <c r="L52" s="340"/>
    </row>
    <row r="53" spans="2:12">
      <c r="B53" s="325"/>
      <c r="C53" s="245" t="s">
        <v>327</v>
      </c>
      <c r="D53" s="242" t="s">
        <v>328</v>
      </c>
      <c r="E53" s="356"/>
      <c r="F53" s="343"/>
      <c r="G53" s="346"/>
      <c r="H53" s="337"/>
      <c r="I53" s="337"/>
      <c r="J53" s="350"/>
      <c r="K53" s="337"/>
      <c r="L53" s="340"/>
    </row>
    <row r="54" spans="2:12">
      <c r="B54" s="325"/>
      <c r="C54" s="245" t="s">
        <v>329</v>
      </c>
      <c r="D54" s="242" t="s">
        <v>330</v>
      </c>
      <c r="E54" s="356"/>
      <c r="F54" s="343"/>
      <c r="G54" s="346"/>
      <c r="H54" s="337"/>
      <c r="I54" s="337"/>
      <c r="J54" s="350"/>
      <c r="K54" s="337"/>
      <c r="L54" s="340"/>
    </row>
    <row r="55" spans="2:12">
      <c r="B55" s="325"/>
      <c r="C55" s="245" t="s">
        <v>331</v>
      </c>
      <c r="D55" s="242" t="s">
        <v>332</v>
      </c>
      <c r="E55" s="356"/>
      <c r="F55" s="343"/>
      <c r="G55" s="346"/>
      <c r="H55" s="337"/>
      <c r="I55" s="337"/>
      <c r="J55" s="350"/>
      <c r="K55" s="337"/>
      <c r="L55" s="340"/>
    </row>
    <row r="56" spans="2:12">
      <c r="B56" s="325"/>
      <c r="C56" s="245" t="s">
        <v>333</v>
      </c>
      <c r="D56" s="242" t="s">
        <v>334</v>
      </c>
      <c r="E56" s="356"/>
      <c r="F56" s="343"/>
      <c r="G56" s="346"/>
      <c r="H56" s="337"/>
      <c r="I56" s="337"/>
      <c r="J56" s="350"/>
      <c r="K56" s="337"/>
      <c r="L56" s="340"/>
    </row>
    <row r="57" spans="2:12">
      <c r="B57" s="325"/>
      <c r="C57" s="245" t="s">
        <v>335</v>
      </c>
      <c r="D57" s="242" t="s">
        <v>336</v>
      </c>
      <c r="E57" s="356"/>
      <c r="F57" s="343"/>
      <c r="G57" s="346"/>
      <c r="H57" s="337"/>
      <c r="I57" s="337"/>
      <c r="J57" s="350"/>
      <c r="K57" s="337"/>
      <c r="L57" s="340"/>
    </row>
    <row r="58" spans="2:12">
      <c r="B58" s="325"/>
      <c r="C58" s="245" t="s">
        <v>337</v>
      </c>
      <c r="D58" s="242" t="s">
        <v>338</v>
      </c>
      <c r="E58" s="356"/>
      <c r="F58" s="343"/>
      <c r="G58" s="346"/>
      <c r="H58" s="337"/>
      <c r="I58" s="337"/>
      <c r="J58" s="350"/>
      <c r="K58" s="337"/>
      <c r="L58" s="340"/>
    </row>
    <row r="59" spans="2:12" ht="18" thickBot="1">
      <c r="B59" s="325"/>
      <c r="C59" s="246" t="s">
        <v>339</v>
      </c>
      <c r="D59" s="247" t="s">
        <v>340</v>
      </c>
      <c r="E59" s="356"/>
      <c r="F59" s="344"/>
      <c r="G59" s="347"/>
      <c r="H59" s="348"/>
      <c r="I59" s="348"/>
      <c r="J59" s="351"/>
      <c r="K59" s="348"/>
      <c r="L59" s="352"/>
    </row>
    <row r="60" spans="2:12" ht="37" thickBot="1">
      <c r="B60" s="248" t="s">
        <v>361</v>
      </c>
      <c r="C60" s="249" t="s">
        <v>353</v>
      </c>
      <c r="D60" s="250" t="s">
        <v>354</v>
      </c>
      <c r="E60" s="251" t="s">
        <v>356</v>
      </c>
      <c r="F60" s="252" t="s">
        <v>357</v>
      </c>
      <c r="G60" s="253" t="s">
        <v>358</v>
      </c>
      <c r="H60" s="251" t="s">
        <v>359</v>
      </c>
      <c r="I60" s="251" t="s">
        <v>350</v>
      </c>
      <c r="J60" s="251" t="s">
        <v>351</v>
      </c>
      <c r="K60" s="251" t="s">
        <v>346</v>
      </c>
      <c r="L60" s="254" t="s">
        <v>347</v>
      </c>
    </row>
    <row r="61" spans="2:12" ht="19">
      <c r="B61" s="324" t="s">
        <v>372</v>
      </c>
      <c r="C61" s="255" t="s">
        <v>363</v>
      </c>
      <c r="D61" s="239" t="s">
        <v>367</v>
      </c>
      <c r="E61" s="327" t="s">
        <v>362</v>
      </c>
      <c r="F61" s="330" t="s">
        <v>371</v>
      </c>
      <c r="G61" s="333" t="s">
        <v>341</v>
      </c>
      <c r="H61" s="327" t="s">
        <v>343</v>
      </c>
      <c r="I61" s="327" t="s">
        <v>344</v>
      </c>
      <c r="J61" s="333" t="s">
        <v>345</v>
      </c>
      <c r="K61" s="336" t="s">
        <v>346</v>
      </c>
      <c r="L61" s="339" t="s">
        <v>373</v>
      </c>
    </row>
    <row r="62" spans="2:12" ht="19">
      <c r="B62" s="325"/>
      <c r="C62" s="256" t="s">
        <v>364</v>
      </c>
      <c r="D62" s="240" t="s">
        <v>368</v>
      </c>
      <c r="E62" s="328"/>
      <c r="F62" s="331"/>
      <c r="G62" s="334"/>
      <c r="H62" s="328"/>
      <c r="I62" s="328"/>
      <c r="J62" s="334"/>
      <c r="K62" s="337"/>
      <c r="L62" s="340"/>
    </row>
    <row r="63" spans="2:12" ht="19">
      <c r="B63" s="325"/>
      <c r="C63" s="256" t="s">
        <v>365</v>
      </c>
      <c r="D63" s="240" t="s">
        <v>369</v>
      </c>
      <c r="E63" s="328"/>
      <c r="F63" s="331"/>
      <c r="G63" s="334"/>
      <c r="H63" s="328"/>
      <c r="I63" s="328"/>
      <c r="J63" s="334"/>
      <c r="K63" s="337"/>
      <c r="L63" s="340"/>
    </row>
    <row r="64" spans="2:12" ht="20" thickBot="1">
      <c r="B64" s="325"/>
      <c r="C64" s="257" t="s">
        <v>366</v>
      </c>
      <c r="D64" s="241" t="s">
        <v>370</v>
      </c>
      <c r="E64" s="329"/>
      <c r="F64" s="332"/>
      <c r="G64" s="335"/>
      <c r="H64" s="329"/>
      <c r="I64" s="329"/>
      <c r="J64" s="335"/>
      <c r="K64" s="338"/>
      <c r="L64" s="341"/>
    </row>
    <row r="65" spans="2:12" ht="19">
      <c r="B65" s="325"/>
      <c r="C65" s="255" t="s">
        <v>363</v>
      </c>
      <c r="D65" s="239" t="s">
        <v>367</v>
      </c>
      <c r="E65" s="327" t="s">
        <v>362</v>
      </c>
      <c r="F65" s="330" t="s">
        <v>348</v>
      </c>
      <c r="G65" s="333" t="s">
        <v>349</v>
      </c>
      <c r="H65" s="327" t="s">
        <v>360</v>
      </c>
      <c r="I65" s="327" t="s">
        <v>350</v>
      </c>
      <c r="J65" s="327" t="s">
        <v>351</v>
      </c>
      <c r="K65" s="336" t="s">
        <v>346</v>
      </c>
      <c r="L65" s="339" t="s">
        <v>374</v>
      </c>
    </row>
    <row r="66" spans="2:12" ht="19">
      <c r="B66" s="325"/>
      <c r="C66" s="256" t="s">
        <v>364</v>
      </c>
      <c r="D66" s="240" t="s">
        <v>368</v>
      </c>
      <c r="E66" s="328"/>
      <c r="F66" s="331"/>
      <c r="G66" s="334"/>
      <c r="H66" s="328"/>
      <c r="I66" s="328"/>
      <c r="J66" s="328"/>
      <c r="K66" s="337"/>
      <c r="L66" s="340"/>
    </row>
    <row r="67" spans="2:12" ht="19">
      <c r="B67" s="325"/>
      <c r="C67" s="256" t="s">
        <v>365</v>
      </c>
      <c r="D67" s="240" t="s">
        <v>369</v>
      </c>
      <c r="E67" s="328"/>
      <c r="F67" s="331"/>
      <c r="G67" s="334"/>
      <c r="H67" s="328"/>
      <c r="I67" s="328"/>
      <c r="J67" s="328"/>
      <c r="K67" s="337"/>
      <c r="L67" s="340"/>
    </row>
    <row r="68" spans="2:12" ht="20" thickBot="1">
      <c r="B68" s="326"/>
      <c r="C68" s="257" t="s">
        <v>366</v>
      </c>
      <c r="D68" s="241" t="s">
        <v>370</v>
      </c>
      <c r="E68" s="329"/>
      <c r="F68" s="332"/>
      <c r="G68" s="335"/>
      <c r="H68" s="329"/>
      <c r="I68" s="329"/>
      <c r="J68" s="329"/>
      <c r="K68" s="338"/>
      <c r="L68" s="341"/>
    </row>
    <row r="69" spans="2:12" ht="25" customHeight="1">
      <c r="B69" s="388" t="s">
        <v>214</v>
      </c>
      <c r="C69" s="381" t="s">
        <v>184</v>
      </c>
      <c r="D69" s="381" t="s">
        <v>187</v>
      </c>
      <c r="E69" s="381" t="s">
        <v>182</v>
      </c>
      <c r="F69" s="231" t="s">
        <v>147</v>
      </c>
      <c r="G69" s="230" t="s">
        <v>148</v>
      </c>
      <c r="H69" s="229" t="s">
        <v>149</v>
      </c>
      <c r="I69" s="229" t="s">
        <v>150</v>
      </c>
      <c r="J69" s="229" t="s">
        <v>151</v>
      </c>
      <c r="K69" s="198" t="s">
        <v>115</v>
      </c>
    </row>
    <row r="70" spans="2:12">
      <c r="B70" s="388"/>
      <c r="C70" s="381"/>
      <c r="D70" s="381"/>
      <c r="E70" s="381"/>
      <c r="F70" s="151" t="s">
        <v>156</v>
      </c>
      <c r="G70" s="117" t="s">
        <v>152</v>
      </c>
      <c r="H70" s="116" t="s">
        <v>149</v>
      </c>
      <c r="I70" s="116" t="s">
        <v>150</v>
      </c>
      <c r="J70" s="116" t="s">
        <v>151</v>
      </c>
      <c r="K70" s="130" t="s">
        <v>115</v>
      </c>
    </row>
    <row r="71" spans="2:12">
      <c r="B71" s="388"/>
      <c r="C71" s="381"/>
      <c r="D71" s="381"/>
      <c r="E71" s="381"/>
      <c r="F71" s="151" t="s">
        <v>157</v>
      </c>
      <c r="G71" s="117" t="s">
        <v>153</v>
      </c>
      <c r="H71" s="116" t="s">
        <v>149</v>
      </c>
      <c r="I71" s="116" t="s">
        <v>150</v>
      </c>
      <c r="J71" s="116" t="s">
        <v>151</v>
      </c>
      <c r="K71" s="130" t="s">
        <v>115</v>
      </c>
    </row>
    <row r="72" spans="2:12">
      <c r="B72" s="388"/>
      <c r="C72" s="381"/>
      <c r="D72" s="381"/>
      <c r="E72" s="381"/>
      <c r="F72" s="151" t="s">
        <v>158</v>
      </c>
      <c r="G72" s="117" t="s">
        <v>154</v>
      </c>
      <c r="H72" s="116" t="s">
        <v>149</v>
      </c>
      <c r="I72" s="116" t="s">
        <v>150</v>
      </c>
      <c r="J72" s="116" t="s">
        <v>151</v>
      </c>
      <c r="K72" s="130" t="s">
        <v>115</v>
      </c>
    </row>
    <row r="73" spans="2:12">
      <c r="B73" s="388"/>
      <c r="C73" s="381"/>
      <c r="D73" s="381"/>
      <c r="E73" s="381"/>
      <c r="F73" s="151" t="s">
        <v>159</v>
      </c>
      <c r="G73" s="117" t="s">
        <v>155</v>
      </c>
      <c r="H73" s="116" t="s">
        <v>149</v>
      </c>
      <c r="I73" s="116" t="s">
        <v>150</v>
      </c>
      <c r="J73" s="116" t="s">
        <v>151</v>
      </c>
      <c r="K73" s="130" t="s">
        <v>115</v>
      </c>
    </row>
    <row r="74" spans="2:12">
      <c r="B74" s="388"/>
      <c r="C74" s="381"/>
      <c r="D74" s="381"/>
      <c r="E74" s="381"/>
      <c r="F74" s="151" t="s">
        <v>161</v>
      </c>
      <c r="G74" s="137" t="s">
        <v>160</v>
      </c>
      <c r="H74" s="116" t="s">
        <v>176</v>
      </c>
      <c r="I74" s="116" t="s">
        <v>193</v>
      </c>
      <c r="J74" s="116" t="s">
        <v>175</v>
      </c>
      <c r="K74" s="130" t="s">
        <v>115</v>
      </c>
    </row>
    <row r="75" spans="2:12">
      <c r="B75" s="388"/>
      <c r="C75" s="381"/>
      <c r="D75" s="381"/>
      <c r="E75" s="381"/>
      <c r="F75" s="151" t="s">
        <v>163</v>
      </c>
      <c r="G75" s="137" t="s">
        <v>162</v>
      </c>
      <c r="H75" s="116" t="s">
        <v>176</v>
      </c>
      <c r="I75" s="116" t="s">
        <v>193</v>
      </c>
      <c r="J75" s="116" t="s">
        <v>175</v>
      </c>
      <c r="K75" s="130" t="s">
        <v>115</v>
      </c>
    </row>
    <row r="76" spans="2:12">
      <c r="B76" s="388"/>
      <c r="C76" s="382"/>
      <c r="D76" s="382"/>
      <c r="E76" s="382"/>
      <c r="F76" s="151" t="s">
        <v>165</v>
      </c>
      <c r="G76" s="137" t="s">
        <v>164</v>
      </c>
      <c r="H76" s="116" t="s">
        <v>176</v>
      </c>
      <c r="I76" s="116" t="s">
        <v>193</v>
      </c>
      <c r="J76" s="116" t="s">
        <v>175</v>
      </c>
      <c r="K76" s="130" t="s">
        <v>115</v>
      </c>
    </row>
    <row r="77" spans="2:12">
      <c r="B77" s="388"/>
      <c r="C77" s="139" t="s">
        <v>161</v>
      </c>
      <c r="D77" s="139" t="s">
        <v>160</v>
      </c>
      <c r="E77" s="118" t="s">
        <v>176</v>
      </c>
      <c r="F77" s="375" t="s">
        <v>179</v>
      </c>
      <c r="G77" s="375" t="s">
        <v>180</v>
      </c>
      <c r="H77" s="378" t="s">
        <v>188</v>
      </c>
      <c r="I77" s="348" t="s">
        <v>189</v>
      </c>
      <c r="J77" s="378" t="s">
        <v>190</v>
      </c>
      <c r="K77" s="383" t="s">
        <v>115</v>
      </c>
    </row>
    <row r="78" spans="2:12">
      <c r="B78" s="388"/>
      <c r="C78" s="139" t="s">
        <v>163</v>
      </c>
      <c r="D78" s="139" t="s">
        <v>162</v>
      </c>
      <c r="E78" s="118" t="s">
        <v>176</v>
      </c>
      <c r="F78" s="376"/>
      <c r="G78" s="376"/>
      <c r="H78" s="379"/>
      <c r="I78" s="381"/>
      <c r="J78" s="379"/>
      <c r="K78" s="361"/>
    </row>
    <row r="79" spans="2:12">
      <c r="B79" s="388"/>
      <c r="C79" s="139" t="s">
        <v>165</v>
      </c>
      <c r="D79" s="139" t="s">
        <v>164</v>
      </c>
      <c r="E79" s="118" t="s">
        <v>176</v>
      </c>
      <c r="F79" s="377"/>
      <c r="G79" s="377"/>
      <c r="H79" s="380"/>
      <c r="I79" s="382"/>
      <c r="J79" s="380"/>
      <c r="K79" s="384"/>
    </row>
    <row r="80" spans="2:12">
      <c r="B80" s="388"/>
      <c r="C80" s="348" t="s">
        <v>179</v>
      </c>
      <c r="D80" s="348" t="s">
        <v>187</v>
      </c>
      <c r="E80" s="348" t="s">
        <v>181</v>
      </c>
      <c r="F80" s="150" t="s">
        <v>191</v>
      </c>
      <c r="G80" s="136" t="s">
        <v>192</v>
      </c>
      <c r="H80" s="122" t="s">
        <v>177</v>
      </c>
      <c r="I80" s="116" t="s">
        <v>194</v>
      </c>
      <c r="J80" s="122" t="s">
        <v>174</v>
      </c>
      <c r="K80" s="130" t="s">
        <v>115</v>
      </c>
    </row>
    <row r="81" spans="2:11">
      <c r="B81" s="388"/>
      <c r="C81" s="381"/>
      <c r="D81" s="381"/>
      <c r="E81" s="381"/>
      <c r="F81" s="150" t="s">
        <v>169</v>
      </c>
      <c r="G81" s="136" t="s">
        <v>168</v>
      </c>
      <c r="H81" s="122" t="s">
        <v>177</v>
      </c>
      <c r="I81" s="116" t="s">
        <v>194</v>
      </c>
      <c r="J81" s="122" t="s">
        <v>174</v>
      </c>
      <c r="K81" s="130" t="s">
        <v>115</v>
      </c>
    </row>
    <row r="82" spans="2:11">
      <c r="B82" s="388"/>
      <c r="C82" s="382"/>
      <c r="D82" s="382"/>
      <c r="E82" s="382"/>
      <c r="F82" s="150" t="s">
        <v>171</v>
      </c>
      <c r="G82" s="136" t="s">
        <v>170</v>
      </c>
      <c r="H82" s="122" t="s">
        <v>177</v>
      </c>
      <c r="I82" s="116" t="s">
        <v>194</v>
      </c>
      <c r="J82" s="122" t="s">
        <v>174</v>
      </c>
      <c r="K82" s="130" t="s">
        <v>115</v>
      </c>
    </row>
    <row r="83" spans="2:11">
      <c r="B83" s="388"/>
      <c r="C83" s="140" t="s">
        <v>191</v>
      </c>
      <c r="D83" s="140" t="s">
        <v>192</v>
      </c>
      <c r="E83" s="125" t="s">
        <v>177</v>
      </c>
      <c r="F83" s="375" t="s">
        <v>179</v>
      </c>
      <c r="G83" s="375" t="s">
        <v>180</v>
      </c>
      <c r="H83" s="378" t="s">
        <v>188</v>
      </c>
      <c r="I83" s="348" t="s">
        <v>189</v>
      </c>
      <c r="J83" s="378" t="s">
        <v>190</v>
      </c>
      <c r="K83" s="383" t="s">
        <v>115</v>
      </c>
    </row>
    <row r="84" spans="2:11">
      <c r="B84" s="388"/>
      <c r="C84" s="140" t="s">
        <v>169</v>
      </c>
      <c r="D84" s="140" t="s">
        <v>168</v>
      </c>
      <c r="E84" s="125" t="s">
        <v>177</v>
      </c>
      <c r="F84" s="376"/>
      <c r="G84" s="376"/>
      <c r="H84" s="379"/>
      <c r="I84" s="381"/>
      <c r="J84" s="379"/>
      <c r="K84" s="361"/>
    </row>
    <row r="85" spans="2:11">
      <c r="B85" s="388"/>
      <c r="C85" s="140" t="s">
        <v>171</v>
      </c>
      <c r="D85" s="140" t="s">
        <v>170</v>
      </c>
      <c r="E85" s="125" t="s">
        <v>177</v>
      </c>
      <c r="F85" s="377"/>
      <c r="G85" s="377"/>
      <c r="H85" s="380"/>
      <c r="I85" s="382"/>
      <c r="J85" s="380"/>
      <c r="K85" s="384"/>
    </row>
    <row r="86" spans="2:11">
      <c r="B86" s="388"/>
      <c r="C86" s="348" t="s">
        <v>184</v>
      </c>
      <c r="D86" s="348" t="s">
        <v>187</v>
      </c>
      <c r="E86" s="348" t="s">
        <v>182</v>
      </c>
      <c r="F86" s="151" t="s">
        <v>195</v>
      </c>
      <c r="G86" s="137" t="s">
        <v>198</v>
      </c>
      <c r="H86" s="122" t="s">
        <v>209</v>
      </c>
      <c r="I86" s="116">
        <v>3000</v>
      </c>
      <c r="J86" s="122" t="s">
        <v>200</v>
      </c>
      <c r="K86" s="130" t="s">
        <v>115</v>
      </c>
    </row>
    <row r="87" spans="2:11">
      <c r="B87" s="388"/>
      <c r="C87" s="381"/>
      <c r="D87" s="381"/>
      <c r="E87" s="381"/>
      <c r="F87" s="151" t="s">
        <v>196</v>
      </c>
      <c r="G87" s="137" t="s">
        <v>198</v>
      </c>
      <c r="H87" s="122" t="s">
        <v>209</v>
      </c>
      <c r="I87" s="116">
        <v>3000</v>
      </c>
      <c r="J87" s="122" t="s">
        <v>200</v>
      </c>
      <c r="K87" s="130" t="s">
        <v>115</v>
      </c>
    </row>
    <row r="88" spans="2:11">
      <c r="B88" s="388"/>
      <c r="C88" s="382"/>
      <c r="D88" s="382"/>
      <c r="E88" s="382"/>
      <c r="F88" s="150" t="s">
        <v>197</v>
      </c>
      <c r="G88" s="136" t="s">
        <v>199</v>
      </c>
      <c r="H88" s="122" t="s">
        <v>209</v>
      </c>
      <c r="I88" s="116">
        <v>3000</v>
      </c>
      <c r="J88" s="122" t="s">
        <v>200</v>
      </c>
      <c r="K88" s="130" t="s">
        <v>115</v>
      </c>
    </row>
    <row r="89" spans="2:11">
      <c r="B89" s="388"/>
      <c r="C89" s="121" t="s">
        <v>179</v>
      </c>
      <c r="D89" s="121" t="s">
        <v>180</v>
      </c>
      <c r="E89" s="121" t="s">
        <v>181</v>
      </c>
      <c r="F89" s="150" t="s">
        <v>202</v>
      </c>
      <c r="G89" s="136" t="s">
        <v>205</v>
      </c>
      <c r="H89" s="122" t="s">
        <v>212</v>
      </c>
      <c r="I89" s="116">
        <v>13306</v>
      </c>
      <c r="J89" s="122" t="s">
        <v>213</v>
      </c>
      <c r="K89" s="130" t="s">
        <v>115</v>
      </c>
    </row>
    <row r="90" spans="2:11">
      <c r="B90" s="388"/>
      <c r="C90" s="121" t="s">
        <v>179</v>
      </c>
      <c r="D90" s="121" t="s">
        <v>180</v>
      </c>
      <c r="E90" s="121" t="s">
        <v>181</v>
      </c>
      <c r="F90" s="150" t="s">
        <v>201</v>
      </c>
      <c r="G90" s="136" t="s">
        <v>204</v>
      </c>
      <c r="H90" s="122" t="s">
        <v>210</v>
      </c>
      <c r="I90" s="116">
        <v>13306</v>
      </c>
      <c r="J90" s="122" t="s">
        <v>213</v>
      </c>
      <c r="K90" s="130" t="s">
        <v>115</v>
      </c>
    </row>
    <row r="91" spans="2:11" ht="18" thickBot="1">
      <c r="B91" s="389"/>
      <c r="C91" s="132" t="s">
        <v>179</v>
      </c>
      <c r="D91" s="132" t="s">
        <v>180</v>
      </c>
      <c r="E91" s="132" t="s">
        <v>181</v>
      </c>
      <c r="F91" s="152" t="s">
        <v>203</v>
      </c>
      <c r="G91" s="138" t="s">
        <v>206</v>
      </c>
      <c r="H91" s="133" t="s">
        <v>211</v>
      </c>
      <c r="I91" s="134">
        <v>13306</v>
      </c>
      <c r="J91" s="133" t="s">
        <v>213</v>
      </c>
      <c r="K91" s="135" t="s">
        <v>115</v>
      </c>
    </row>
    <row r="92" spans="2:11">
      <c r="B92" s="390" t="s">
        <v>215</v>
      </c>
      <c r="C92" s="391" t="s">
        <v>216</v>
      </c>
      <c r="D92" s="391" t="s">
        <v>207</v>
      </c>
      <c r="E92" s="391" t="s">
        <v>182</v>
      </c>
      <c r="F92" s="153" t="s">
        <v>147</v>
      </c>
      <c r="G92" s="127" t="s">
        <v>148</v>
      </c>
      <c r="H92" s="128" t="s">
        <v>149</v>
      </c>
      <c r="I92" s="128" t="s">
        <v>150</v>
      </c>
      <c r="J92" s="128" t="s">
        <v>151</v>
      </c>
      <c r="K92" s="129" t="s">
        <v>115</v>
      </c>
    </row>
    <row r="93" spans="2:11">
      <c r="B93" s="388"/>
      <c r="C93" s="381"/>
      <c r="D93" s="381"/>
      <c r="E93" s="381"/>
      <c r="F93" s="151" t="s">
        <v>156</v>
      </c>
      <c r="G93" s="117" t="s">
        <v>152</v>
      </c>
      <c r="H93" s="116" t="s">
        <v>149</v>
      </c>
      <c r="I93" s="116" t="s">
        <v>150</v>
      </c>
      <c r="J93" s="116" t="s">
        <v>151</v>
      </c>
      <c r="K93" s="130" t="s">
        <v>115</v>
      </c>
    </row>
    <row r="94" spans="2:11">
      <c r="B94" s="388"/>
      <c r="C94" s="381"/>
      <c r="D94" s="381"/>
      <c r="E94" s="381"/>
      <c r="F94" s="151" t="s">
        <v>157</v>
      </c>
      <c r="G94" s="117" t="s">
        <v>153</v>
      </c>
      <c r="H94" s="116" t="s">
        <v>149</v>
      </c>
      <c r="I94" s="116" t="s">
        <v>150</v>
      </c>
      <c r="J94" s="116" t="s">
        <v>151</v>
      </c>
      <c r="K94" s="130" t="s">
        <v>115</v>
      </c>
    </row>
    <row r="95" spans="2:11">
      <c r="B95" s="388"/>
      <c r="C95" s="381"/>
      <c r="D95" s="381"/>
      <c r="E95" s="381"/>
      <c r="F95" s="151" t="s">
        <v>158</v>
      </c>
      <c r="G95" s="117" t="s">
        <v>154</v>
      </c>
      <c r="H95" s="116" t="s">
        <v>149</v>
      </c>
      <c r="I95" s="116" t="s">
        <v>150</v>
      </c>
      <c r="J95" s="116" t="s">
        <v>151</v>
      </c>
      <c r="K95" s="130" t="s">
        <v>115</v>
      </c>
    </row>
    <row r="96" spans="2:11">
      <c r="B96" s="388"/>
      <c r="C96" s="381"/>
      <c r="D96" s="381"/>
      <c r="E96" s="381"/>
      <c r="F96" s="151" t="s">
        <v>159</v>
      </c>
      <c r="G96" s="117" t="s">
        <v>155</v>
      </c>
      <c r="H96" s="116" t="s">
        <v>149</v>
      </c>
      <c r="I96" s="116" t="s">
        <v>150</v>
      </c>
      <c r="J96" s="116" t="s">
        <v>151</v>
      </c>
      <c r="K96" s="130" t="s">
        <v>115</v>
      </c>
    </row>
    <row r="97" spans="2:11">
      <c r="B97" s="388"/>
      <c r="C97" s="381"/>
      <c r="D97" s="381"/>
      <c r="E97" s="381"/>
      <c r="F97" s="151" t="s">
        <v>161</v>
      </c>
      <c r="G97" s="137" t="s">
        <v>160</v>
      </c>
      <c r="H97" s="116" t="s">
        <v>176</v>
      </c>
      <c r="I97" s="116" t="s">
        <v>193</v>
      </c>
      <c r="J97" s="116" t="s">
        <v>175</v>
      </c>
      <c r="K97" s="130" t="s">
        <v>115</v>
      </c>
    </row>
    <row r="98" spans="2:11">
      <c r="B98" s="388"/>
      <c r="C98" s="381"/>
      <c r="D98" s="381"/>
      <c r="E98" s="381"/>
      <c r="F98" s="151" t="s">
        <v>163</v>
      </c>
      <c r="G98" s="137" t="s">
        <v>162</v>
      </c>
      <c r="H98" s="116" t="s">
        <v>176</v>
      </c>
      <c r="I98" s="116" t="s">
        <v>193</v>
      </c>
      <c r="J98" s="116" t="s">
        <v>175</v>
      </c>
      <c r="K98" s="130" t="s">
        <v>115</v>
      </c>
    </row>
    <row r="99" spans="2:11">
      <c r="B99" s="388"/>
      <c r="C99" s="382"/>
      <c r="D99" s="382"/>
      <c r="E99" s="382"/>
      <c r="F99" s="151" t="s">
        <v>165</v>
      </c>
      <c r="G99" s="137" t="s">
        <v>164</v>
      </c>
      <c r="H99" s="116" t="s">
        <v>176</v>
      </c>
      <c r="I99" s="116" t="s">
        <v>193</v>
      </c>
      <c r="J99" s="116" t="s">
        <v>175</v>
      </c>
      <c r="K99" s="130" t="s">
        <v>115</v>
      </c>
    </row>
    <row r="100" spans="2:11">
      <c r="B100" s="388"/>
      <c r="C100" s="139" t="s">
        <v>161</v>
      </c>
      <c r="D100" s="139" t="s">
        <v>160</v>
      </c>
      <c r="E100" s="118" t="s">
        <v>176</v>
      </c>
      <c r="F100" s="375" t="s">
        <v>185</v>
      </c>
      <c r="G100" s="375" t="s">
        <v>207</v>
      </c>
      <c r="H100" s="378" t="s">
        <v>188</v>
      </c>
      <c r="I100" s="348" t="s">
        <v>189</v>
      </c>
      <c r="J100" s="378" t="s">
        <v>190</v>
      </c>
      <c r="K100" s="383" t="s">
        <v>115</v>
      </c>
    </row>
    <row r="101" spans="2:11">
      <c r="B101" s="388"/>
      <c r="C101" s="139" t="s">
        <v>163</v>
      </c>
      <c r="D101" s="139" t="s">
        <v>162</v>
      </c>
      <c r="E101" s="118" t="s">
        <v>176</v>
      </c>
      <c r="F101" s="376"/>
      <c r="G101" s="376"/>
      <c r="H101" s="379"/>
      <c r="I101" s="381"/>
      <c r="J101" s="379"/>
      <c r="K101" s="361"/>
    </row>
    <row r="102" spans="2:11">
      <c r="B102" s="388"/>
      <c r="C102" s="139" t="s">
        <v>165</v>
      </c>
      <c r="D102" s="139" t="s">
        <v>164</v>
      </c>
      <c r="E102" s="118" t="s">
        <v>176</v>
      </c>
      <c r="F102" s="377"/>
      <c r="G102" s="377"/>
      <c r="H102" s="380"/>
      <c r="I102" s="382"/>
      <c r="J102" s="380"/>
      <c r="K102" s="384"/>
    </row>
    <row r="103" spans="2:11">
      <c r="B103" s="388"/>
      <c r="C103" s="348" t="s">
        <v>185</v>
      </c>
      <c r="D103" s="348" t="s">
        <v>207</v>
      </c>
      <c r="E103" s="348" t="s">
        <v>181</v>
      </c>
      <c r="F103" s="150" t="s">
        <v>191</v>
      </c>
      <c r="G103" s="136" t="s">
        <v>192</v>
      </c>
      <c r="H103" s="122" t="s">
        <v>177</v>
      </c>
      <c r="I103" s="116" t="s">
        <v>194</v>
      </c>
      <c r="J103" s="122" t="s">
        <v>174</v>
      </c>
      <c r="K103" s="130" t="s">
        <v>115</v>
      </c>
    </row>
    <row r="104" spans="2:11">
      <c r="B104" s="388"/>
      <c r="C104" s="381"/>
      <c r="D104" s="381"/>
      <c r="E104" s="381"/>
      <c r="F104" s="150" t="s">
        <v>169</v>
      </c>
      <c r="G104" s="136" t="s">
        <v>168</v>
      </c>
      <c r="H104" s="122" t="s">
        <v>177</v>
      </c>
      <c r="I104" s="116" t="s">
        <v>194</v>
      </c>
      <c r="J104" s="122" t="s">
        <v>174</v>
      </c>
      <c r="K104" s="130" t="s">
        <v>115</v>
      </c>
    </row>
    <row r="105" spans="2:11">
      <c r="B105" s="388"/>
      <c r="C105" s="382"/>
      <c r="D105" s="382"/>
      <c r="E105" s="382"/>
      <c r="F105" s="150" t="s">
        <v>171</v>
      </c>
      <c r="G105" s="136" t="s">
        <v>170</v>
      </c>
      <c r="H105" s="122" t="s">
        <v>177</v>
      </c>
      <c r="I105" s="116" t="s">
        <v>194</v>
      </c>
      <c r="J105" s="122" t="s">
        <v>174</v>
      </c>
      <c r="K105" s="130" t="s">
        <v>115</v>
      </c>
    </row>
    <row r="106" spans="2:11">
      <c r="B106" s="388"/>
      <c r="C106" s="140" t="s">
        <v>191</v>
      </c>
      <c r="D106" s="140" t="s">
        <v>192</v>
      </c>
      <c r="E106" s="125" t="s">
        <v>177</v>
      </c>
      <c r="F106" s="375" t="s">
        <v>185</v>
      </c>
      <c r="G106" s="375" t="s">
        <v>207</v>
      </c>
      <c r="H106" s="378" t="s">
        <v>188</v>
      </c>
      <c r="I106" s="348" t="s">
        <v>189</v>
      </c>
      <c r="J106" s="378" t="s">
        <v>190</v>
      </c>
      <c r="K106" s="383" t="s">
        <v>115</v>
      </c>
    </row>
    <row r="107" spans="2:11">
      <c r="B107" s="388"/>
      <c r="C107" s="140" t="s">
        <v>169</v>
      </c>
      <c r="D107" s="140" t="s">
        <v>168</v>
      </c>
      <c r="E107" s="125" t="s">
        <v>177</v>
      </c>
      <c r="F107" s="376"/>
      <c r="G107" s="376"/>
      <c r="H107" s="379"/>
      <c r="I107" s="381"/>
      <c r="J107" s="379"/>
      <c r="K107" s="361"/>
    </row>
    <row r="108" spans="2:11">
      <c r="B108" s="388"/>
      <c r="C108" s="140" t="s">
        <v>171</v>
      </c>
      <c r="D108" s="140" t="s">
        <v>170</v>
      </c>
      <c r="E108" s="125" t="s">
        <v>177</v>
      </c>
      <c r="F108" s="377"/>
      <c r="G108" s="377"/>
      <c r="H108" s="380"/>
      <c r="I108" s="382"/>
      <c r="J108" s="380"/>
      <c r="K108" s="384"/>
    </row>
    <row r="109" spans="2:11">
      <c r="B109" s="388"/>
      <c r="C109" s="348" t="s">
        <v>185</v>
      </c>
      <c r="D109" s="348" t="s">
        <v>207</v>
      </c>
      <c r="E109" s="348" t="s">
        <v>182</v>
      </c>
      <c r="F109" s="151" t="s">
        <v>195</v>
      </c>
      <c r="G109" s="137" t="s">
        <v>198</v>
      </c>
      <c r="H109" s="122" t="s">
        <v>209</v>
      </c>
      <c r="I109" s="116">
        <v>3000</v>
      </c>
      <c r="J109" s="122" t="s">
        <v>200</v>
      </c>
      <c r="K109" s="130" t="s">
        <v>115</v>
      </c>
    </row>
    <row r="110" spans="2:11">
      <c r="B110" s="388"/>
      <c r="C110" s="381"/>
      <c r="D110" s="381"/>
      <c r="E110" s="381"/>
      <c r="F110" s="151" t="s">
        <v>196</v>
      </c>
      <c r="G110" s="137" t="s">
        <v>198</v>
      </c>
      <c r="H110" s="122" t="s">
        <v>209</v>
      </c>
      <c r="I110" s="116">
        <v>3000</v>
      </c>
      <c r="J110" s="122" t="s">
        <v>200</v>
      </c>
      <c r="K110" s="130" t="s">
        <v>115</v>
      </c>
    </row>
    <row r="111" spans="2:11">
      <c r="B111" s="388"/>
      <c r="C111" s="382"/>
      <c r="D111" s="382"/>
      <c r="E111" s="382"/>
      <c r="F111" s="150" t="s">
        <v>197</v>
      </c>
      <c r="G111" s="136" t="s">
        <v>199</v>
      </c>
      <c r="H111" s="122" t="s">
        <v>209</v>
      </c>
      <c r="I111" s="116">
        <v>3000</v>
      </c>
      <c r="J111" s="122" t="s">
        <v>200</v>
      </c>
      <c r="K111" s="130" t="s">
        <v>115</v>
      </c>
    </row>
    <row r="112" spans="2:11">
      <c r="B112" s="388"/>
      <c r="C112" s="121" t="s">
        <v>185</v>
      </c>
      <c r="D112" s="121" t="s">
        <v>207</v>
      </c>
      <c r="E112" s="121" t="s">
        <v>181</v>
      </c>
      <c r="F112" s="150" t="s">
        <v>202</v>
      </c>
      <c r="G112" s="136" t="s">
        <v>205</v>
      </c>
      <c r="H112" s="122" t="s">
        <v>212</v>
      </c>
      <c r="I112" s="116">
        <v>13306</v>
      </c>
      <c r="J112" s="122" t="s">
        <v>213</v>
      </c>
      <c r="K112" s="130" t="s">
        <v>115</v>
      </c>
    </row>
    <row r="113" spans="2:11">
      <c r="B113" s="388"/>
      <c r="C113" s="121" t="s">
        <v>185</v>
      </c>
      <c r="D113" s="121" t="s">
        <v>207</v>
      </c>
      <c r="E113" s="121" t="s">
        <v>181</v>
      </c>
      <c r="F113" s="150" t="s">
        <v>201</v>
      </c>
      <c r="G113" s="136" t="s">
        <v>204</v>
      </c>
      <c r="H113" s="122" t="s">
        <v>210</v>
      </c>
      <c r="I113" s="116">
        <v>13306</v>
      </c>
      <c r="J113" s="122" t="s">
        <v>213</v>
      </c>
      <c r="K113" s="130" t="s">
        <v>115</v>
      </c>
    </row>
    <row r="114" spans="2:11" ht="18" thickBot="1">
      <c r="B114" s="389"/>
      <c r="C114" s="132" t="s">
        <v>185</v>
      </c>
      <c r="D114" s="132" t="s">
        <v>207</v>
      </c>
      <c r="E114" s="132" t="s">
        <v>181</v>
      </c>
      <c r="F114" s="152" t="s">
        <v>203</v>
      </c>
      <c r="G114" s="138" t="s">
        <v>206</v>
      </c>
      <c r="H114" s="133" t="s">
        <v>211</v>
      </c>
      <c r="I114" s="134">
        <v>13306</v>
      </c>
      <c r="J114" s="133" t="s">
        <v>213</v>
      </c>
      <c r="K114" s="135" t="s">
        <v>115</v>
      </c>
    </row>
    <row r="115" spans="2:11">
      <c r="B115" s="390" t="s">
        <v>217</v>
      </c>
      <c r="C115" s="391" t="s">
        <v>186</v>
      </c>
      <c r="D115" s="391" t="s">
        <v>218</v>
      </c>
      <c r="E115" s="391" t="s">
        <v>182</v>
      </c>
      <c r="F115" s="153" t="s">
        <v>147</v>
      </c>
      <c r="G115" s="127" t="s">
        <v>148</v>
      </c>
      <c r="H115" s="128" t="s">
        <v>149</v>
      </c>
      <c r="I115" s="128" t="s">
        <v>150</v>
      </c>
      <c r="J115" s="128" t="s">
        <v>151</v>
      </c>
      <c r="K115" s="129" t="s">
        <v>115</v>
      </c>
    </row>
    <row r="116" spans="2:11">
      <c r="B116" s="388"/>
      <c r="C116" s="381"/>
      <c r="D116" s="381"/>
      <c r="E116" s="381"/>
      <c r="F116" s="151" t="s">
        <v>156</v>
      </c>
      <c r="G116" s="117" t="s">
        <v>152</v>
      </c>
      <c r="H116" s="116" t="s">
        <v>149</v>
      </c>
      <c r="I116" s="116" t="s">
        <v>150</v>
      </c>
      <c r="J116" s="116" t="s">
        <v>151</v>
      </c>
      <c r="K116" s="130" t="s">
        <v>115</v>
      </c>
    </row>
    <row r="117" spans="2:11">
      <c r="B117" s="388"/>
      <c r="C117" s="381"/>
      <c r="D117" s="381"/>
      <c r="E117" s="381"/>
      <c r="F117" s="151" t="s">
        <v>157</v>
      </c>
      <c r="G117" s="117" t="s">
        <v>153</v>
      </c>
      <c r="H117" s="116" t="s">
        <v>149</v>
      </c>
      <c r="I117" s="116" t="s">
        <v>150</v>
      </c>
      <c r="J117" s="116" t="s">
        <v>151</v>
      </c>
      <c r="K117" s="130" t="s">
        <v>115</v>
      </c>
    </row>
    <row r="118" spans="2:11">
      <c r="B118" s="388"/>
      <c r="C118" s="381"/>
      <c r="D118" s="381"/>
      <c r="E118" s="381"/>
      <c r="F118" s="151" t="s">
        <v>158</v>
      </c>
      <c r="G118" s="117" t="s">
        <v>154</v>
      </c>
      <c r="H118" s="116" t="s">
        <v>149</v>
      </c>
      <c r="I118" s="116" t="s">
        <v>150</v>
      </c>
      <c r="J118" s="116" t="s">
        <v>151</v>
      </c>
      <c r="K118" s="130" t="s">
        <v>115</v>
      </c>
    </row>
    <row r="119" spans="2:11">
      <c r="B119" s="388"/>
      <c r="C119" s="381"/>
      <c r="D119" s="381"/>
      <c r="E119" s="381"/>
      <c r="F119" s="151" t="s">
        <v>159</v>
      </c>
      <c r="G119" s="117" t="s">
        <v>155</v>
      </c>
      <c r="H119" s="116" t="s">
        <v>149</v>
      </c>
      <c r="I119" s="116" t="s">
        <v>150</v>
      </c>
      <c r="J119" s="116" t="s">
        <v>151</v>
      </c>
      <c r="K119" s="130" t="s">
        <v>115</v>
      </c>
    </row>
    <row r="120" spans="2:11">
      <c r="B120" s="388"/>
      <c r="C120" s="381"/>
      <c r="D120" s="381"/>
      <c r="E120" s="381"/>
      <c r="F120" s="151" t="s">
        <v>161</v>
      </c>
      <c r="G120" s="137" t="s">
        <v>160</v>
      </c>
      <c r="H120" s="116" t="s">
        <v>176</v>
      </c>
      <c r="I120" s="116" t="s">
        <v>193</v>
      </c>
      <c r="J120" s="116" t="s">
        <v>175</v>
      </c>
      <c r="K120" s="130" t="s">
        <v>115</v>
      </c>
    </row>
    <row r="121" spans="2:11">
      <c r="B121" s="388"/>
      <c r="C121" s="381"/>
      <c r="D121" s="381"/>
      <c r="E121" s="381"/>
      <c r="F121" s="151" t="s">
        <v>163</v>
      </c>
      <c r="G121" s="137" t="s">
        <v>162</v>
      </c>
      <c r="H121" s="116" t="s">
        <v>176</v>
      </c>
      <c r="I121" s="116" t="s">
        <v>193</v>
      </c>
      <c r="J121" s="116" t="s">
        <v>175</v>
      </c>
      <c r="K121" s="130" t="s">
        <v>115</v>
      </c>
    </row>
    <row r="122" spans="2:11">
      <c r="B122" s="388"/>
      <c r="C122" s="382"/>
      <c r="D122" s="382"/>
      <c r="E122" s="382"/>
      <c r="F122" s="151" t="s">
        <v>165</v>
      </c>
      <c r="G122" s="137" t="s">
        <v>164</v>
      </c>
      <c r="H122" s="116" t="s">
        <v>176</v>
      </c>
      <c r="I122" s="116" t="s">
        <v>193</v>
      </c>
      <c r="J122" s="116" t="s">
        <v>175</v>
      </c>
      <c r="K122" s="130" t="s">
        <v>115</v>
      </c>
    </row>
    <row r="123" spans="2:11">
      <c r="B123" s="388"/>
      <c r="C123" s="139" t="s">
        <v>161</v>
      </c>
      <c r="D123" s="139" t="s">
        <v>160</v>
      </c>
      <c r="E123" s="118" t="s">
        <v>176</v>
      </c>
      <c r="F123" s="375" t="s">
        <v>186</v>
      </c>
      <c r="G123" s="375" t="s">
        <v>208</v>
      </c>
      <c r="H123" s="378" t="s">
        <v>188</v>
      </c>
      <c r="I123" s="348" t="s">
        <v>189</v>
      </c>
      <c r="J123" s="378" t="s">
        <v>190</v>
      </c>
      <c r="K123" s="383" t="s">
        <v>115</v>
      </c>
    </row>
    <row r="124" spans="2:11">
      <c r="B124" s="388"/>
      <c r="C124" s="139" t="s">
        <v>163</v>
      </c>
      <c r="D124" s="139" t="s">
        <v>162</v>
      </c>
      <c r="E124" s="118" t="s">
        <v>176</v>
      </c>
      <c r="F124" s="376"/>
      <c r="G124" s="376"/>
      <c r="H124" s="379"/>
      <c r="I124" s="381"/>
      <c r="J124" s="379"/>
      <c r="K124" s="361"/>
    </row>
    <row r="125" spans="2:11">
      <c r="B125" s="388"/>
      <c r="C125" s="139" t="s">
        <v>165</v>
      </c>
      <c r="D125" s="139" t="s">
        <v>164</v>
      </c>
      <c r="E125" s="118" t="s">
        <v>176</v>
      </c>
      <c r="F125" s="377"/>
      <c r="G125" s="377"/>
      <c r="H125" s="380"/>
      <c r="I125" s="382"/>
      <c r="J125" s="380"/>
      <c r="K125" s="384"/>
    </row>
    <row r="126" spans="2:11">
      <c r="B126" s="388"/>
      <c r="C126" s="348" t="s">
        <v>186</v>
      </c>
      <c r="D126" s="348" t="s">
        <v>208</v>
      </c>
      <c r="E126" s="348" t="s">
        <v>181</v>
      </c>
      <c r="F126" s="150" t="s">
        <v>191</v>
      </c>
      <c r="G126" s="136" t="s">
        <v>192</v>
      </c>
      <c r="H126" s="122" t="s">
        <v>177</v>
      </c>
      <c r="I126" s="116" t="s">
        <v>194</v>
      </c>
      <c r="J126" s="122" t="s">
        <v>174</v>
      </c>
      <c r="K126" s="130" t="s">
        <v>115</v>
      </c>
    </row>
    <row r="127" spans="2:11">
      <c r="B127" s="388"/>
      <c r="C127" s="381"/>
      <c r="D127" s="381"/>
      <c r="E127" s="381"/>
      <c r="F127" s="150" t="s">
        <v>169</v>
      </c>
      <c r="G127" s="136" t="s">
        <v>168</v>
      </c>
      <c r="H127" s="122" t="s">
        <v>177</v>
      </c>
      <c r="I127" s="116" t="s">
        <v>194</v>
      </c>
      <c r="J127" s="122" t="s">
        <v>174</v>
      </c>
      <c r="K127" s="130" t="s">
        <v>115</v>
      </c>
    </row>
    <row r="128" spans="2:11">
      <c r="B128" s="388"/>
      <c r="C128" s="382"/>
      <c r="D128" s="382"/>
      <c r="E128" s="382"/>
      <c r="F128" s="150" t="s">
        <v>171</v>
      </c>
      <c r="G128" s="136" t="s">
        <v>170</v>
      </c>
      <c r="H128" s="122" t="s">
        <v>177</v>
      </c>
      <c r="I128" s="116" t="s">
        <v>194</v>
      </c>
      <c r="J128" s="122" t="s">
        <v>174</v>
      </c>
      <c r="K128" s="130" t="s">
        <v>115</v>
      </c>
    </row>
    <row r="129" spans="2:11">
      <c r="B129" s="388"/>
      <c r="C129" s="140" t="s">
        <v>191</v>
      </c>
      <c r="D129" s="140" t="s">
        <v>192</v>
      </c>
      <c r="E129" s="125" t="s">
        <v>177</v>
      </c>
      <c r="F129" s="375" t="s">
        <v>186</v>
      </c>
      <c r="G129" s="375" t="s">
        <v>208</v>
      </c>
      <c r="H129" s="378" t="s">
        <v>188</v>
      </c>
      <c r="I129" s="348" t="s">
        <v>189</v>
      </c>
      <c r="J129" s="378" t="s">
        <v>190</v>
      </c>
      <c r="K129" s="383" t="s">
        <v>115</v>
      </c>
    </row>
    <row r="130" spans="2:11">
      <c r="B130" s="388"/>
      <c r="C130" s="140" t="s">
        <v>169</v>
      </c>
      <c r="D130" s="140" t="s">
        <v>168</v>
      </c>
      <c r="E130" s="125" t="s">
        <v>177</v>
      </c>
      <c r="F130" s="376"/>
      <c r="G130" s="376"/>
      <c r="H130" s="379"/>
      <c r="I130" s="381"/>
      <c r="J130" s="379"/>
      <c r="K130" s="361"/>
    </row>
    <row r="131" spans="2:11">
      <c r="B131" s="388"/>
      <c r="C131" s="140" t="s">
        <v>171</v>
      </c>
      <c r="D131" s="140" t="s">
        <v>170</v>
      </c>
      <c r="E131" s="125" t="s">
        <v>177</v>
      </c>
      <c r="F131" s="377"/>
      <c r="G131" s="377"/>
      <c r="H131" s="380"/>
      <c r="I131" s="382"/>
      <c r="J131" s="380"/>
      <c r="K131" s="384"/>
    </row>
    <row r="132" spans="2:11">
      <c r="B132" s="388"/>
      <c r="C132" s="348" t="s">
        <v>186</v>
      </c>
      <c r="D132" s="348" t="s">
        <v>208</v>
      </c>
      <c r="E132" s="348" t="s">
        <v>182</v>
      </c>
      <c r="F132" s="151" t="s">
        <v>195</v>
      </c>
      <c r="G132" s="137" t="s">
        <v>198</v>
      </c>
      <c r="H132" s="122" t="s">
        <v>209</v>
      </c>
      <c r="I132" s="116">
        <v>3000</v>
      </c>
      <c r="J132" s="122" t="s">
        <v>200</v>
      </c>
      <c r="K132" s="130" t="s">
        <v>115</v>
      </c>
    </row>
    <row r="133" spans="2:11">
      <c r="B133" s="388"/>
      <c r="C133" s="381"/>
      <c r="D133" s="381"/>
      <c r="E133" s="381"/>
      <c r="F133" s="151" t="s">
        <v>196</v>
      </c>
      <c r="G133" s="137" t="s">
        <v>198</v>
      </c>
      <c r="H133" s="122" t="s">
        <v>209</v>
      </c>
      <c r="I133" s="116">
        <v>3000</v>
      </c>
      <c r="J133" s="122" t="s">
        <v>200</v>
      </c>
      <c r="K133" s="130" t="s">
        <v>115</v>
      </c>
    </row>
    <row r="134" spans="2:11">
      <c r="B134" s="388"/>
      <c r="C134" s="382"/>
      <c r="D134" s="382"/>
      <c r="E134" s="382"/>
      <c r="F134" s="150" t="s">
        <v>197</v>
      </c>
      <c r="G134" s="136" t="s">
        <v>199</v>
      </c>
      <c r="H134" s="122" t="s">
        <v>209</v>
      </c>
      <c r="I134" s="116">
        <v>3000</v>
      </c>
      <c r="J134" s="122" t="s">
        <v>200</v>
      </c>
      <c r="K134" s="130" t="s">
        <v>115</v>
      </c>
    </row>
    <row r="135" spans="2:11">
      <c r="B135" s="388"/>
      <c r="C135" s="121" t="s">
        <v>186</v>
      </c>
      <c r="D135" s="121" t="s">
        <v>208</v>
      </c>
      <c r="E135" s="121" t="s">
        <v>181</v>
      </c>
      <c r="F135" s="150" t="s">
        <v>202</v>
      </c>
      <c r="G135" s="136" t="s">
        <v>205</v>
      </c>
      <c r="H135" s="122" t="s">
        <v>212</v>
      </c>
      <c r="I135" s="116">
        <v>13306</v>
      </c>
      <c r="J135" s="122" t="s">
        <v>213</v>
      </c>
      <c r="K135" s="130" t="s">
        <v>115</v>
      </c>
    </row>
    <row r="136" spans="2:11">
      <c r="B136" s="388"/>
      <c r="C136" s="121" t="s">
        <v>186</v>
      </c>
      <c r="D136" s="121" t="s">
        <v>208</v>
      </c>
      <c r="E136" s="121" t="s">
        <v>181</v>
      </c>
      <c r="F136" s="150" t="s">
        <v>201</v>
      </c>
      <c r="G136" s="136" t="s">
        <v>204</v>
      </c>
      <c r="H136" s="122" t="s">
        <v>210</v>
      </c>
      <c r="I136" s="116">
        <v>13306</v>
      </c>
      <c r="J136" s="122" t="s">
        <v>213</v>
      </c>
      <c r="K136" s="130" t="s">
        <v>115</v>
      </c>
    </row>
    <row r="137" spans="2:11" ht="18" thickBot="1">
      <c r="B137" s="389"/>
      <c r="C137" s="132" t="s">
        <v>186</v>
      </c>
      <c r="D137" s="132" t="s">
        <v>208</v>
      </c>
      <c r="E137" s="132" t="s">
        <v>181</v>
      </c>
      <c r="F137" s="152" t="s">
        <v>203</v>
      </c>
      <c r="G137" s="138" t="s">
        <v>206</v>
      </c>
      <c r="H137" s="133" t="s">
        <v>211</v>
      </c>
      <c r="I137" s="134">
        <v>13306</v>
      </c>
      <c r="J137" s="133" t="s">
        <v>213</v>
      </c>
      <c r="K137" s="135" t="s">
        <v>115</v>
      </c>
    </row>
    <row r="138" spans="2:11">
      <c r="B138" s="390" t="s">
        <v>219</v>
      </c>
      <c r="C138" s="391" t="s">
        <v>220</v>
      </c>
      <c r="D138" s="391" t="s">
        <v>224</v>
      </c>
      <c r="E138" s="391" t="s">
        <v>182</v>
      </c>
      <c r="F138" s="153" t="s">
        <v>147</v>
      </c>
      <c r="G138" s="127" t="s">
        <v>148</v>
      </c>
      <c r="H138" s="128" t="s">
        <v>149</v>
      </c>
      <c r="I138" s="128" t="s">
        <v>150</v>
      </c>
      <c r="J138" s="128" t="s">
        <v>151</v>
      </c>
      <c r="K138" s="129" t="s">
        <v>115</v>
      </c>
    </row>
    <row r="139" spans="2:11">
      <c r="B139" s="388"/>
      <c r="C139" s="381"/>
      <c r="D139" s="381"/>
      <c r="E139" s="381"/>
      <c r="F139" s="151" t="s">
        <v>156</v>
      </c>
      <c r="G139" s="117" t="s">
        <v>152</v>
      </c>
      <c r="H139" s="116" t="s">
        <v>149</v>
      </c>
      <c r="I139" s="116" t="s">
        <v>150</v>
      </c>
      <c r="J139" s="116" t="s">
        <v>151</v>
      </c>
      <c r="K139" s="130" t="s">
        <v>115</v>
      </c>
    </row>
    <row r="140" spans="2:11">
      <c r="B140" s="388"/>
      <c r="C140" s="381"/>
      <c r="D140" s="381"/>
      <c r="E140" s="381"/>
      <c r="F140" s="151" t="s">
        <v>157</v>
      </c>
      <c r="G140" s="117" t="s">
        <v>153</v>
      </c>
      <c r="H140" s="116" t="s">
        <v>149</v>
      </c>
      <c r="I140" s="116" t="s">
        <v>150</v>
      </c>
      <c r="J140" s="116" t="s">
        <v>151</v>
      </c>
      <c r="K140" s="130" t="s">
        <v>115</v>
      </c>
    </row>
    <row r="141" spans="2:11">
      <c r="B141" s="388"/>
      <c r="C141" s="381"/>
      <c r="D141" s="381"/>
      <c r="E141" s="381"/>
      <c r="F141" s="151" t="s">
        <v>158</v>
      </c>
      <c r="G141" s="117" t="s">
        <v>154</v>
      </c>
      <c r="H141" s="116" t="s">
        <v>149</v>
      </c>
      <c r="I141" s="116" t="s">
        <v>150</v>
      </c>
      <c r="J141" s="116" t="s">
        <v>151</v>
      </c>
      <c r="K141" s="130" t="s">
        <v>115</v>
      </c>
    </row>
    <row r="142" spans="2:11">
      <c r="B142" s="388"/>
      <c r="C142" s="381"/>
      <c r="D142" s="381"/>
      <c r="E142" s="381"/>
      <c r="F142" s="151" t="s">
        <v>159</v>
      </c>
      <c r="G142" s="117" t="s">
        <v>155</v>
      </c>
      <c r="H142" s="116" t="s">
        <v>149</v>
      </c>
      <c r="I142" s="116" t="s">
        <v>150</v>
      </c>
      <c r="J142" s="116" t="s">
        <v>151</v>
      </c>
      <c r="K142" s="130" t="s">
        <v>115</v>
      </c>
    </row>
    <row r="143" spans="2:11">
      <c r="B143" s="388"/>
      <c r="C143" s="381"/>
      <c r="D143" s="381"/>
      <c r="E143" s="381"/>
      <c r="F143" s="151" t="s">
        <v>161</v>
      </c>
      <c r="G143" s="137" t="s">
        <v>160</v>
      </c>
      <c r="H143" s="116" t="s">
        <v>176</v>
      </c>
      <c r="I143" s="116" t="s">
        <v>193</v>
      </c>
      <c r="J143" s="116" t="s">
        <v>175</v>
      </c>
      <c r="K143" s="130" t="s">
        <v>115</v>
      </c>
    </row>
    <row r="144" spans="2:11">
      <c r="B144" s="388"/>
      <c r="C144" s="381"/>
      <c r="D144" s="381"/>
      <c r="E144" s="381"/>
      <c r="F144" s="151" t="s">
        <v>163</v>
      </c>
      <c r="G144" s="137" t="s">
        <v>162</v>
      </c>
      <c r="H144" s="116" t="s">
        <v>176</v>
      </c>
      <c r="I144" s="116" t="s">
        <v>193</v>
      </c>
      <c r="J144" s="116" t="s">
        <v>175</v>
      </c>
      <c r="K144" s="130" t="s">
        <v>115</v>
      </c>
    </row>
    <row r="145" spans="2:11">
      <c r="B145" s="388"/>
      <c r="C145" s="382"/>
      <c r="D145" s="382"/>
      <c r="E145" s="382"/>
      <c r="F145" s="151" t="s">
        <v>165</v>
      </c>
      <c r="G145" s="137" t="s">
        <v>164</v>
      </c>
      <c r="H145" s="116" t="s">
        <v>176</v>
      </c>
      <c r="I145" s="116" t="s">
        <v>193</v>
      </c>
      <c r="J145" s="116" t="s">
        <v>175</v>
      </c>
      <c r="K145" s="130" t="s">
        <v>115</v>
      </c>
    </row>
    <row r="146" spans="2:11">
      <c r="B146" s="388"/>
      <c r="C146" s="139" t="s">
        <v>161</v>
      </c>
      <c r="D146" s="139" t="s">
        <v>160</v>
      </c>
      <c r="E146" s="118" t="s">
        <v>176</v>
      </c>
      <c r="F146" s="375" t="s">
        <v>220</v>
      </c>
      <c r="G146" s="375" t="s">
        <v>221</v>
      </c>
      <c r="H146" s="378" t="s">
        <v>188</v>
      </c>
      <c r="I146" s="348" t="s">
        <v>189</v>
      </c>
      <c r="J146" s="378" t="s">
        <v>190</v>
      </c>
      <c r="K146" s="383" t="s">
        <v>115</v>
      </c>
    </row>
    <row r="147" spans="2:11">
      <c r="B147" s="388"/>
      <c r="C147" s="139" t="s">
        <v>163</v>
      </c>
      <c r="D147" s="139" t="s">
        <v>162</v>
      </c>
      <c r="E147" s="118" t="s">
        <v>176</v>
      </c>
      <c r="F147" s="376"/>
      <c r="G147" s="376"/>
      <c r="H147" s="379"/>
      <c r="I147" s="381"/>
      <c r="J147" s="379"/>
      <c r="K147" s="361"/>
    </row>
    <row r="148" spans="2:11">
      <c r="B148" s="388"/>
      <c r="C148" s="139" t="s">
        <v>165</v>
      </c>
      <c r="D148" s="139" t="s">
        <v>164</v>
      </c>
      <c r="E148" s="118" t="s">
        <v>176</v>
      </c>
      <c r="F148" s="377"/>
      <c r="G148" s="377"/>
      <c r="H148" s="380"/>
      <c r="I148" s="382"/>
      <c r="J148" s="380"/>
      <c r="K148" s="384"/>
    </row>
    <row r="149" spans="2:11">
      <c r="B149" s="388"/>
      <c r="C149" s="348" t="s">
        <v>220</v>
      </c>
      <c r="D149" s="348" t="s">
        <v>221</v>
      </c>
      <c r="E149" s="348" t="s">
        <v>181</v>
      </c>
      <c r="F149" s="150" t="s">
        <v>191</v>
      </c>
      <c r="G149" s="136" t="s">
        <v>192</v>
      </c>
      <c r="H149" s="122" t="s">
        <v>177</v>
      </c>
      <c r="I149" s="116" t="s">
        <v>194</v>
      </c>
      <c r="J149" s="122" t="s">
        <v>174</v>
      </c>
      <c r="K149" s="130" t="s">
        <v>115</v>
      </c>
    </row>
    <row r="150" spans="2:11">
      <c r="B150" s="388"/>
      <c r="C150" s="381"/>
      <c r="D150" s="381"/>
      <c r="E150" s="381"/>
      <c r="F150" s="150" t="s">
        <v>169</v>
      </c>
      <c r="G150" s="136" t="s">
        <v>168</v>
      </c>
      <c r="H150" s="122" t="s">
        <v>177</v>
      </c>
      <c r="I150" s="116" t="s">
        <v>194</v>
      </c>
      <c r="J150" s="122" t="s">
        <v>174</v>
      </c>
      <c r="K150" s="130" t="s">
        <v>115</v>
      </c>
    </row>
    <row r="151" spans="2:11">
      <c r="B151" s="388"/>
      <c r="C151" s="382"/>
      <c r="D151" s="382"/>
      <c r="E151" s="382"/>
      <c r="F151" s="150" t="s">
        <v>171</v>
      </c>
      <c r="G151" s="136" t="s">
        <v>170</v>
      </c>
      <c r="H151" s="122" t="s">
        <v>177</v>
      </c>
      <c r="I151" s="116" t="s">
        <v>194</v>
      </c>
      <c r="J151" s="122" t="s">
        <v>174</v>
      </c>
      <c r="K151" s="130" t="s">
        <v>115</v>
      </c>
    </row>
    <row r="152" spans="2:11">
      <c r="B152" s="388"/>
      <c r="C152" s="140" t="s">
        <v>191</v>
      </c>
      <c r="D152" s="140" t="s">
        <v>192</v>
      </c>
      <c r="E152" s="125" t="s">
        <v>177</v>
      </c>
      <c r="F152" s="375" t="s">
        <v>220</v>
      </c>
      <c r="G152" s="375" t="s">
        <v>221</v>
      </c>
      <c r="H152" s="378" t="s">
        <v>188</v>
      </c>
      <c r="I152" s="348" t="s">
        <v>189</v>
      </c>
      <c r="J152" s="378" t="s">
        <v>190</v>
      </c>
      <c r="K152" s="383" t="s">
        <v>115</v>
      </c>
    </row>
    <row r="153" spans="2:11">
      <c r="B153" s="388"/>
      <c r="C153" s="140" t="s">
        <v>169</v>
      </c>
      <c r="D153" s="140" t="s">
        <v>168</v>
      </c>
      <c r="E153" s="125" t="s">
        <v>177</v>
      </c>
      <c r="F153" s="376"/>
      <c r="G153" s="376"/>
      <c r="H153" s="379"/>
      <c r="I153" s="381"/>
      <c r="J153" s="379"/>
      <c r="K153" s="361"/>
    </row>
    <row r="154" spans="2:11">
      <c r="B154" s="388"/>
      <c r="C154" s="140" t="s">
        <v>171</v>
      </c>
      <c r="D154" s="140" t="s">
        <v>170</v>
      </c>
      <c r="E154" s="125" t="s">
        <v>177</v>
      </c>
      <c r="F154" s="377"/>
      <c r="G154" s="377"/>
      <c r="H154" s="380"/>
      <c r="I154" s="382"/>
      <c r="J154" s="380"/>
      <c r="K154" s="384"/>
    </row>
    <row r="155" spans="2:11">
      <c r="B155" s="388"/>
      <c r="C155" s="348" t="s">
        <v>220</v>
      </c>
      <c r="D155" s="348" t="s">
        <v>221</v>
      </c>
      <c r="E155" s="348" t="s">
        <v>182</v>
      </c>
      <c r="F155" s="151" t="s">
        <v>195</v>
      </c>
      <c r="G155" s="137" t="s">
        <v>198</v>
      </c>
      <c r="H155" s="122" t="s">
        <v>209</v>
      </c>
      <c r="I155" s="116">
        <v>3000</v>
      </c>
      <c r="J155" s="122" t="s">
        <v>200</v>
      </c>
      <c r="K155" s="130" t="s">
        <v>115</v>
      </c>
    </row>
    <row r="156" spans="2:11">
      <c r="B156" s="388"/>
      <c r="C156" s="381"/>
      <c r="D156" s="381"/>
      <c r="E156" s="381"/>
      <c r="F156" s="151" t="s">
        <v>196</v>
      </c>
      <c r="G156" s="137" t="s">
        <v>198</v>
      </c>
      <c r="H156" s="122" t="s">
        <v>209</v>
      </c>
      <c r="I156" s="116">
        <v>3000</v>
      </c>
      <c r="J156" s="122" t="s">
        <v>200</v>
      </c>
      <c r="K156" s="130" t="s">
        <v>115</v>
      </c>
    </row>
    <row r="157" spans="2:11">
      <c r="B157" s="388"/>
      <c r="C157" s="382"/>
      <c r="D157" s="382"/>
      <c r="E157" s="382"/>
      <c r="F157" s="150" t="s">
        <v>197</v>
      </c>
      <c r="G157" s="136" t="s">
        <v>199</v>
      </c>
      <c r="H157" s="122" t="s">
        <v>209</v>
      </c>
      <c r="I157" s="116">
        <v>3000</v>
      </c>
      <c r="J157" s="122" t="s">
        <v>200</v>
      </c>
      <c r="K157" s="130" t="s">
        <v>115</v>
      </c>
    </row>
    <row r="158" spans="2:11">
      <c r="B158" s="388"/>
      <c r="C158" s="121" t="s">
        <v>220</v>
      </c>
      <c r="D158" s="121" t="s">
        <v>221</v>
      </c>
      <c r="E158" s="121" t="s">
        <v>181</v>
      </c>
      <c r="F158" s="150" t="s">
        <v>202</v>
      </c>
      <c r="G158" s="136" t="s">
        <v>205</v>
      </c>
      <c r="H158" s="122" t="s">
        <v>212</v>
      </c>
      <c r="I158" s="116">
        <v>13306</v>
      </c>
      <c r="J158" s="122" t="s">
        <v>213</v>
      </c>
      <c r="K158" s="130" t="s">
        <v>115</v>
      </c>
    </row>
    <row r="159" spans="2:11">
      <c r="B159" s="388"/>
      <c r="C159" s="121" t="s">
        <v>220</v>
      </c>
      <c r="D159" s="121" t="s">
        <v>221</v>
      </c>
      <c r="E159" s="121" t="s">
        <v>181</v>
      </c>
      <c r="F159" s="150" t="s">
        <v>201</v>
      </c>
      <c r="G159" s="136" t="s">
        <v>204</v>
      </c>
      <c r="H159" s="122" t="s">
        <v>210</v>
      </c>
      <c r="I159" s="116">
        <v>13306</v>
      </c>
      <c r="J159" s="122" t="s">
        <v>213</v>
      </c>
      <c r="K159" s="130" t="s">
        <v>115</v>
      </c>
    </row>
    <row r="160" spans="2:11" ht="18" thickBot="1">
      <c r="B160" s="389"/>
      <c r="C160" s="132" t="s">
        <v>220</v>
      </c>
      <c r="D160" s="132" t="s">
        <v>221</v>
      </c>
      <c r="E160" s="132" t="s">
        <v>181</v>
      </c>
      <c r="F160" s="152" t="s">
        <v>203</v>
      </c>
      <c r="G160" s="138" t="s">
        <v>206</v>
      </c>
      <c r="H160" s="133" t="s">
        <v>211</v>
      </c>
      <c r="I160" s="134">
        <v>13306</v>
      </c>
      <c r="J160" s="133" t="s">
        <v>213</v>
      </c>
      <c r="K160" s="135" t="s">
        <v>115</v>
      </c>
    </row>
    <row r="161" spans="2:11">
      <c r="B161" s="390" t="s">
        <v>222</v>
      </c>
      <c r="C161" s="391" t="s">
        <v>223</v>
      </c>
      <c r="D161" s="391" t="s">
        <v>225</v>
      </c>
      <c r="E161" s="391" t="s">
        <v>182</v>
      </c>
      <c r="F161" s="153" t="s">
        <v>147</v>
      </c>
      <c r="G161" s="127" t="s">
        <v>148</v>
      </c>
      <c r="H161" s="128" t="s">
        <v>149</v>
      </c>
      <c r="I161" s="128" t="s">
        <v>150</v>
      </c>
      <c r="J161" s="128" t="s">
        <v>151</v>
      </c>
      <c r="K161" s="129" t="s">
        <v>115</v>
      </c>
    </row>
    <row r="162" spans="2:11">
      <c r="B162" s="388"/>
      <c r="C162" s="381"/>
      <c r="D162" s="381"/>
      <c r="E162" s="381"/>
      <c r="F162" s="151" t="s">
        <v>156</v>
      </c>
      <c r="G162" s="117" t="s">
        <v>152</v>
      </c>
      <c r="H162" s="116" t="s">
        <v>149</v>
      </c>
      <c r="I162" s="116" t="s">
        <v>150</v>
      </c>
      <c r="J162" s="116" t="s">
        <v>151</v>
      </c>
      <c r="K162" s="130" t="s">
        <v>115</v>
      </c>
    </row>
    <row r="163" spans="2:11">
      <c r="B163" s="388"/>
      <c r="C163" s="381"/>
      <c r="D163" s="381"/>
      <c r="E163" s="381"/>
      <c r="F163" s="151" t="s">
        <v>157</v>
      </c>
      <c r="G163" s="117" t="s">
        <v>153</v>
      </c>
      <c r="H163" s="116" t="s">
        <v>149</v>
      </c>
      <c r="I163" s="116" t="s">
        <v>150</v>
      </c>
      <c r="J163" s="116" t="s">
        <v>151</v>
      </c>
      <c r="K163" s="130" t="s">
        <v>115</v>
      </c>
    </row>
    <row r="164" spans="2:11">
      <c r="B164" s="388"/>
      <c r="C164" s="381"/>
      <c r="D164" s="381"/>
      <c r="E164" s="381"/>
      <c r="F164" s="151" t="s">
        <v>158</v>
      </c>
      <c r="G164" s="117" t="s">
        <v>154</v>
      </c>
      <c r="H164" s="116" t="s">
        <v>149</v>
      </c>
      <c r="I164" s="116" t="s">
        <v>150</v>
      </c>
      <c r="J164" s="116" t="s">
        <v>151</v>
      </c>
      <c r="K164" s="130" t="s">
        <v>115</v>
      </c>
    </row>
    <row r="165" spans="2:11">
      <c r="B165" s="388"/>
      <c r="C165" s="381"/>
      <c r="D165" s="381"/>
      <c r="E165" s="381"/>
      <c r="F165" s="151" t="s">
        <v>159</v>
      </c>
      <c r="G165" s="117" t="s">
        <v>155</v>
      </c>
      <c r="H165" s="116" t="s">
        <v>149</v>
      </c>
      <c r="I165" s="116" t="s">
        <v>150</v>
      </c>
      <c r="J165" s="116" t="s">
        <v>151</v>
      </c>
      <c r="K165" s="130" t="s">
        <v>115</v>
      </c>
    </row>
    <row r="166" spans="2:11">
      <c r="B166" s="388"/>
      <c r="C166" s="381"/>
      <c r="D166" s="381"/>
      <c r="E166" s="381"/>
      <c r="F166" s="151" t="s">
        <v>161</v>
      </c>
      <c r="G166" s="137" t="s">
        <v>160</v>
      </c>
      <c r="H166" s="116" t="s">
        <v>176</v>
      </c>
      <c r="I166" s="116" t="s">
        <v>193</v>
      </c>
      <c r="J166" s="116" t="s">
        <v>175</v>
      </c>
      <c r="K166" s="130" t="s">
        <v>115</v>
      </c>
    </row>
    <row r="167" spans="2:11">
      <c r="B167" s="388"/>
      <c r="C167" s="381"/>
      <c r="D167" s="381"/>
      <c r="E167" s="381"/>
      <c r="F167" s="151" t="s">
        <v>163</v>
      </c>
      <c r="G167" s="137" t="s">
        <v>162</v>
      </c>
      <c r="H167" s="116" t="s">
        <v>176</v>
      </c>
      <c r="I167" s="116" t="s">
        <v>193</v>
      </c>
      <c r="J167" s="116" t="s">
        <v>175</v>
      </c>
      <c r="K167" s="130" t="s">
        <v>115</v>
      </c>
    </row>
    <row r="168" spans="2:11">
      <c r="B168" s="388"/>
      <c r="C168" s="382"/>
      <c r="D168" s="382"/>
      <c r="E168" s="382"/>
      <c r="F168" s="151" t="s">
        <v>165</v>
      </c>
      <c r="G168" s="137" t="s">
        <v>164</v>
      </c>
      <c r="H168" s="116" t="s">
        <v>176</v>
      </c>
      <c r="I168" s="116" t="s">
        <v>193</v>
      </c>
      <c r="J168" s="116" t="s">
        <v>175</v>
      </c>
      <c r="K168" s="130" t="s">
        <v>115</v>
      </c>
    </row>
    <row r="169" spans="2:11">
      <c r="B169" s="388"/>
      <c r="C169" s="139" t="s">
        <v>161</v>
      </c>
      <c r="D169" s="139" t="s">
        <v>160</v>
      </c>
      <c r="E169" s="118" t="s">
        <v>176</v>
      </c>
      <c r="F169" s="375" t="s">
        <v>223</v>
      </c>
      <c r="G169" s="375" t="s">
        <v>225</v>
      </c>
      <c r="H169" s="378" t="s">
        <v>188</v>
      </c>
      <c r="I169" s="348" t="s">
        <v>189</v>
      </c>
      <c r="J169" s="378" t="s">
        <v>190</v>
      </c>
      <c r="K169" s="383" t="s">
        <v>115</v>
      </c>
    </row>
    <row r="170" spans="2:11">
      <c r="B170" s="388"/>
      <c r="C170" s="139" t="s">
        <v>163</v>
      </c>
      <c r="D170" s="139" t="s">
        <v>162</v>
      </c>
      <c r="E170" s="118" t="s">
        <v>176</v>
      </c>
      <c r="F170" s="376"/>
      <c r="G170" s="376"/>
      <c r="H170" s="379"/>
      <c r="I170" s="381"/>
      <c r="J170" s="379"/>
      <c r="K170" s="361"/>
    </row>
    <row r="171" spans="2:11">
      <c r="B171" s="388"/>
      <c r="C171" s="139" t="s">
        <v>165</v>
      </c>
      <c r="D171" s="139" t="s">
        <v>164</v>
      </c>
      <c r="E171" s="118" t="s">
        <v>176</v>
      </c>
      <c r="F171" s="377"/>
      <c r="G171" s="377"/>
      <c r="H171" s="380"/>
      <c r="I171" s="382"/>
      <c r="J171" s="380"/>
      <c r="K171" s="384"/>
    </row>
    <row r="172" spans="2:11">
      <c r="B172" s="388"/>
      <c r="C172" s="348" t="s">
        <v>223</v>
      </c>
      <c r="D172" s="348" t="s">
        <v>225</v>
      </c>
      <c r="E172" s="348" t="s">
        <v>181</v>
      </c>
      <c r="F172" s="150" t="s">
        <v>191</v>
      </c>
      <c r="G172" s="136" t="s">
        <v>192</v>
      </c>
      <c r="H172" s="122" t="s">
        <v>177</v>
      </c>
      <c r="I172" s="116" t="s">
        <v>194</v>
      </c>
      <c r="J172" s="122" t="s">
        <v>174</v>
      </c>
      <c r="K172" s="130" t="s">
        <v>115</v>
      </c>
    </row>
    <row r="173" spans="2:11">
      <c r="B173" s="388"/>
      <c r="C173" s="381"/>
      <c r="D173" s="381"/>
      <c r="E173" s="381"/>
      <c r="F173" s="150" t="s">
        <v>169</v>
      </c>
      <c r="G173" s="136" t="s">
        <v>168</v>
      </c>
      <c r="H173" s="122" t="s">
        <v>177</v>
      </c>
      <c r="I173" s="116" t="s">
        <v>194</v>
      </c>
      <c r="J173" s="122" t="s">
        <v>174</v>
      </c>
      <c r="K173" s="130" t="s">
        <v>115</v>
      </c>
    </row>
    <row r="174" spans="2:11">
      <c r="B174" s="388"/>
      <c r="C174" s="382"/>
      <c r="D174" s="382"/>
      <c r="E174" s="382"/>
      <c r="F174" s="150" t="s">
        <v>171</v>
      </c>
      <c r="G174" s="136" t="s">
        <v>170</v>
      </c>
      <c r="H174" s="122" t="s">
        <v>177</v>
      </c>
      <c r="I174" s="116" t="s">
        <v>194</v>
      </c>
      <c r="J174" s="122" t="s">
        <v>174</v>
      </c>
      <c r="K174" s="130" t="s">
        <v>115</v>
      </c>
    </row>
    <row r="175" spans="2:11">
      <c r="B175" s="388"/>
      <c r="C175" s="140" t="s">
        <v>191</v>
      </c>
      <c r="D175" s="140" t="s">
        <v>192</v>
      </c>
      <c r="E175" s="125" t="s">
        <v>177</v>
      </c>
      <c r="F175" s="375" t="s">
        <v>223</v>
      </c>
      <c r="G175" s="375" t="s">
        <v>225</v>
      </c>
      <c r="H175" s="378" t="s">
        <v>188</v>
      </c>
      <c r="I175" s="348" t="s">
        <v>189</v>
      </c>
      <c r="J175" s="378" t="s">
        <v>190</v>
      </c>
      <c r="K175" s="383" t="s">
        <v>115</v>
      </c>
    </row>
    <row r="176" spans="2:11">
      <c r="B176" s="388"/>
      <c r="C176" s="140" t="s">
        <v>169</v>
      </c>
      <c r="D176" s="140" t="s">
        <v>168</v>
      </c>
      <c r="E176" s="125" t="s">
        <v>177</v>
      </c>
      <c r="F176" s="376"/>
      <c r="G176" s="376"/>
      <c r="H176" s="379"/>
      <c r="I176" s="381"/>
      <c r="J176" s="379"/>
      <c r="K176" s="361"/>
    </row>
    <row r="177" spans="2:11">
      <c r="B177" s="388"/>
      <c r="C177" s="140" t="s">
        <v>171</v>
      </c>
      <c r="D177" s="140" t="s">
        <v>170</v>
      </c>
      <c r="E177" s="125" t="s">
        <v>177</v>
      </c>
      <c r="F177" s="377"/>
      <c r="G177" s="377"/>
      <c r="H177" s="380"/>
      <c r="I177" s="382"/>
      <c r="J177" s="380"/>
      <c r="K177" s="384"/>
    </row>
    <row r="178" spans="2:11">
      <c r="B178" s="388"/>
      <c r="C178" s="348" t="s">
        <v>223</v>
      </c>
      <c r="D178" s="348" t="s">
        <v>225</v>
      </c>
      <c r="E178" s="348" t="s">
        <v>182</v>
      </c>
      <c r="F178" s="151" t="s">
        <v>195</v>
      </c>
      <c r="G178" s="137" t="s">
        <v>198</v>
      </c>
      <c r="H178" s="122" t="s">
        <v>209</v>
      </c>
      <c r="I178" s="116">
        <v>3000</v>
      </c>
      <c r="J178" s="122" t="s">
        <v>200</v>
      </c>
      <c r="K178" s="130" t="s">
        <v>115</v>
      </c>
    </row>
    <row r="179" spans="2:11">
      <c r="B179" s="388"/>
      <c r="C179" s="381"/>
      <c r="D179" s="381"/>
      <c r="E179" s="381"/>
      <c r="F179" s="151" t="s">
        <v>196</v>
      </c>
      <c r="G179" s="137" t="s">
        <v>198</v>
      </c>
      <c r="H179" s="122" t="s">
        <v>209</v>
      </c>
      <c r="I179" s="116">
        <v>3000</v>
      </c>
      <c r="J179" s="122" t="s">
        <v>200</v>
      </c>
      <c r="K179" s="130" t="s">
        <v>115</v>
      </c>
    </row>
    <row r="180" spans="2:11">
      <c r="B180" s="388"/>
      <c r="C180" s="382"/>
      <c r="D180" s="382"/>
      <c r="E180" s="382"/>
      <c r="F180" s="150" t="s">
        <v>197</v>
      </c>
      <c r="G180" s="136" t="s">
        <v>199</v>
      </c>
      <c r="H180" s="122" t="s">
        <v>209</v>
      </c>
      <c r="I180" s="116">
        <v>3000</v>
      </c>
      <c r="J180" s="122" t="s">
        <v>200</v>
      </c>
      <c r="K180" s="130" t="s">
        <v>115</v>
      </c>
    </row>
    <row r="181" spans="2:11">
      <c r="B181" s="388"/>
      <c r="C181" s="121" t="s">
        <v>223</v>
      </c>
      <c r="D181" s="121" t="s">
        <v>225</v>
      </c>
      <c r="E181" s="121" t="s">
        <v>181</v>
      </c>
      <c r="F181" s="150" t="s">
        <v>202</v>
      </c>
      <c r="G181" s="136" t="s">
        <v>205</v>
      </c>
      <c r="H181" s="122" t="s">
        <v>212</v>
      </c>
      <c r="I181" s="116">
        <v>13306</v>
      </c>
      <c r="J181" s="122" t="s">
        <v>213</v>
      </c>
      <c r="K181" s="130" t="s">
        <v>115</v>
      </c>
    </row>
    <row r="182" spans="2:11">
      <c r="B182" s="388"/>
      <c r="C182" s="121" t="s">
        <v>223</v>
      </c>
      <c r="D182" s="121" t="s">
        <v>225</v>
      </c>
      <c r="E182" s="121" t="s">
        <v>181</v>
      </c>
      <c r="F182" s="150" t="s">
        <v>201</v>
      </c>
      <c r="G182" s="136" t="s">
        <v>204</v>
      </c>
      <c r="H182" s="122" t="s">
        <v>210</v>
      </c>
      <c r="I182" s="116">
        <v>13306</v>
      </c>
      <c r="J182" s="122" t="s">
        <v>213</v>
      </c>
      <c r="K182" s="130" t="s">
        <v>115</v>
      </c>
    </row>
    <row r="183" spans="2:11" ht="18" thickBot="1">
      <c r="B183" s="389"/>
      <c r="C183" s="132" t="s">
        <v>223</v>
      </c>
      <c r="D183" s="132" t="s">
        <v>225</v>
      </c>
      <c r="E183" s="132" t="s">
        <v>181</v>
      </c>
      <c r="F183" s="152" t="s">
        <v>203</v>
      </c>
      <c r="G183" s="138" t="s">
        <v>206</v>
      </c>
      <c r="H183" s="133" t="s">
        <v>211</v>
      </c>
      <c r="I183" s="134">
        <v>13306</v>
      </c>
      <c r="J183" s="133" t="s">
        <v>213</v>
      </c>
      <c r="K183" s="135" t="s">
        <v>115</v>
      </c>
    </row>
    <row r="184" spans="2:11">
      <c r="B184" s="439" t="s">
        <v>376</v>
      </c>
      <c r="C184" s="391" t="s">
        <v>226</v>
      </c>
      <c r="D184" s="391" t="s">
        <v>227</v>
      </c>
      <c r="E184" s="391" t="s">
        <v>182</v>
      </c>
      <c r="F184" s="153" t="s">
        <v>147</v>
      </c>
      <c r="G184" s="127" t="s">
        <v>148</v>
      </c>
      <c r="H184" s="128" t="s">
        <v>149</v>
      </c>
      <c r="I184" s="128" t="s">
        <v>150</v>
      </c>
      <c r="J184" s="128" t="s">
        <v>151</v>
      </c>
      <c r="K184" s="129" t="s">
        <v>115</v>
      </c>
    </row>
    <row r="185" spans="2:11">
      <c r="B185" s="440"/>
      <c r="C185" s="381"/>
      <c r="D185" s="381"/>
      <c r="E185" s="381"/>
      <c r="F185" s="151" t="s">
        <v>156</v>
      </c>
      <c r="G185" s="117" t="s">
        <v>152</v>
      </c>
      <c r="H185" s="116" t="s">
        <v>149</v>
      </c>
      <c r="I185" s="116" t="s">
        <v>150</v>
      </c>
      <c r="J185" s="116" t="s">
        <v>151</v>
      </c>
      <c r="K185" s="130" t="s">
        <v>115</v>
      </c>
    </row>
    <row r="186" spans="2:11">
      <c r="B186" s="440"/>
      <c r="C186" s="381"/>
      <c r="D186" s="381"/>
      <c r="E186" s="381"/>
      <c r="F186" s="151" t="s">
        <v>157</v>
      </c>
      <c r="G186" s="117" t="s">
        <v>153</v>
      </c>
      <c r="H186" s="116" t="s">
        <v>149</v>
      </c>
      <c r="I186" s="116" t="s">
        <v>150</v>
      </c>
      <c r="J186" s="116" t="s">
        <v>151</v>
      </c>
      <c r="K186" s="130" t="s">
        <v>115</v>
      </c>
    </row>
    <row r="187" spans="2:11">
      <c r="B187" s="440"/>
      <c r="C187" s="381"/>
      <c r="D187" s="381"/>
      <c r="E187" s="381"/>
      <c r="F187" s="151" t="s">
        <v>158</v>
      </c>
      <c r="G187" s="117" t="s">
        <v>154</v>
      </c>
      <c r="H187" s="116" t="s">
        <v>149</v>
      </c>
      <c r="I187" s="116" t="s">
        <v>150</v>
      </c>
      <c r="J187" s="116" t="s">
        <v>151</v>
      </c>
      <c r="K187" s="130" t="s">
        <v>115</v>
      </c>
    </row>
    <row r="188" spans="2:11">
      <c r="B188" s="440"/>
      <c r="C188" s="381"/>
      <c r="D188" s="381"/>
      <c r="E188" s="381"/>
      <c r="F188" s="151" t="s">
        <v>159</v>
      </c>
      <c r="G188" s="117" t="s">
        <v>155</v>
      </c>
      <c r="H188" s="116" t="s">
        <v>149</v>
      </c>
      <c r="I188" s="116" t="s">
        <v>150</v>
      </c>
      <c r="J188" s="116" t="s">
        <v>151</v>
      </c>
      <c r="K188" s="130" t="s">
        <v>115</v>
      </c>
    </row>
    <row r="189" spans="2:11">
      <c r="B189" s="440"/>
      <c r="C189" s="381"/>
      <c r="D189" s="381"/>
      <c r="E189" s="381"/>
      <c r="F189" s="151" t="s">
        <v>161</v>
      </c>
      <c r="G189" s="137" t="s">
        <v>160</v>
      </c>
      <c r="H189" s="116" t="s">
        <v>176</v>
      </c>
      <c r="I189" s="116" t="s">
        <v>193</v>
      </c>
      <c r="J189" s="116" t="s">
        <v>175</v>
      </c>
      <c r="K189" s="130" t="s">
        <v>115</v>
      </c>
    </row>
    <row r="190" spans="2:11">
      <c r="B190" s="440"/>
      <c r="C190" s="381"/>
      <c r="D190" s="381"/>
      <c r="E190" s="381"/>
      <c r="F190" s="151" t="s">
        <v>163</v>
      </c>
      <c r="G190" s="137" t="s">
        <v>162</v>
      </c>
      <c r="H190" s="116" t="s">
        <v>176</v>
      </c>
      <c r="I190" s="116" t="s">
        <v>193</v>
      </c>
      <c r="J190" s="116" t="s">
        <v>175</v>
      </c>
      <c r="K190" s="130" t="s">
        <v>115</v>
      </c>
    </row>
    <row r="191" spans="2:11">
      <c r="B191" s="440"/>
      <c r="C191" s="382"/>
      <c r="D191" s="382"/>
      <c r="E191" s="382"/>
      <c r="F191" s="151" t="s">
        <v>165</v>
      </c>
      <c r="G191" s="137" t="s">
        <v>164</v>
      </c>
      <c r="H191" s="116" t="s">
        <v>176</v>
      </c>
      <c r="I191" s="116" t="s">
        <v>193</v>
      </c>
      <c r="J191" s="116" t="s">
        <v>175</v>
      </c>
      <c r="K191" s="130" t="s">
        <v>115</v>
      </c>
    </row>
    <row r="192" spans="2:11">
      <c r="B192" s="440"/>
      <c r="C192" s="139" t="s">
        <v>161</v>
      </c>
      <c r="D192" s="139" t="s">
        <v>160</v>
      </c>
      <c r="E192" s="118" t="s">
        <v>176</v>
      </c>
      <c r="F192" s="375" t="s">
        <v>226</v>
      </c>
      <c r="G192" s="375" t="s">
        <v>227</v>
      </c>
      <c r="H192" s="378" t="s">
        <v>188</v>
      </c>
      <c r="I192" s="348" t="s">
        <v>189</v>
      </c>
      <c r="J192" s="378" t="s">
        <v>190</v>
      </c>
      <c r="K192" s="383" t="s">
        <v>115</v>
      </c>
    </row>
    <row r="193" spans="2:11">
      <c r="B193" s="440"/>
      <c r="C193" s="139" t="s">
        <v>163</v>
      </c>
      <c r="D193" s="139" t="s">
        <v>162</v>
      </c>
      <c r="E193" s="118" t="s">
        <v>176</v>
      </c>
      <c r="F193" s="376"/>
      <c r="G193" s="376"/>
      <c r="H193" s="379"/>
      <c r="I193" s="381"/>
      <c r="J193" s="379"/>
      <c r="K193" s="361"/>
    </row>
    <row r="194" spans="2:11">
      <c r="B194" s="440"/>
      <c r="C194" s="139" t="s">
        <v>165</v>
      </c>
      <c r="D194" s="139" t="s">
        <v>164</v>
      </c>
      <c r="E194" s="118" t="s">
        <v>176</v>
      </c>
      <c r="F194" s="377"/>
      <c r="G194" s="377"/>
      <c r="H194" s="380"/>
      <c r="I194" s="382"/>
      <c r="J194" s="380"/>
      <c r="K194" s="384"/>
    </row>
    <row r="195" spans="2:11">
      <c r="B195" s="440"/>
      <c r="C195" s="348" t="s">
        <v>226</v>
      </c>
      <c r="D195" s="348" t="s">
        <v>227</v>
      </c>
      <c r="E195" s="348" t="s">
        <v>181</v>
      </c>
      <c r="F195" s="150" t="s">
        <v>191</v>
      </c>
      <c r="G195" s="136" t="s">
        <v>192</v>
      </c>
      <c r="H195" s="122" t="s">
        <v>177</v>
      </c>
      <c r="I195" s="116" t="s">
        <v>194</v>
      </c>
      <c r="J195" s="122" t="s">
        <v>174</v>
      </c>
      <c r="K195" s="130" t="s">
        <v>115</v>
      </c>
    </row>
    <row r="196" spans="2:11">
      <c r="B196" s="440"/>
      <c r="C196" s="381"/>
      <c r="D196" s="381"/>
      <c r="E196" s="381"/>
      <c r="F196" s="150" t="s">
        <v>169</v>
      </c>
      <c r="G196" s="136" t="s">
        <v>168</v>
      </c>
      <c r="H196" s="122" t="s">
        <v>177</v>
      </c>
      <c r="I196" s="116" t="s">
        <v>194</v>
      </c>
      <c r="J196" s="122" t="s">
        <v>174</v>
      </c>
      <c r="K196" s="130" t="s">
        <v>115</v>
      </c>
    </row>
    <row r="197" spans="2:11">
      <c r="B197" s="440"/>
      <c r="C197" s="382"/>
      <c r="D197" s="382"/>
      <c r="E197" s="382"/>
      <c r="F197" s="150" t="s">
        <v>171</v>
      </c>
      <c r="G197" s="136" t="s">
        <v>170</v>
      </c>
      <c r="H197" s="122" t="s">
        <v>177</v>
      </c>
      <c r="I197" s="116" t="s">
        <v>194</v>
      </c>
      <c r="J197" s="122" t="s">
        <v>174</v>
      </c>
      <c r="K197" s="130" t="s">
        <v>115</v>
      </c>
    </row>
    <row r="198" spans="2:11">
      <c r="B198" s="440"/>
      <c r="C198" s="140" t="s">
        <v>191</v>
      </c>
      <c r="D198" s="140" t="s">
        <v>192</v>
      </c>
      <c r="E198" s="125" t="s">
        <v>177</v>
      </c>
      <c r="F198" s="375" t="s">
        <v>226</v>
      </c>
      <c r="G198" s="375" t="s">
        <v>227</v>
      </c>
      <c r="H198" s="378" t="s">
        <v>188</v>
      </c>
      <c r="I198" s="348" t="s">
        <v>189</v>
      </c>
      <c r="J198" s="378" t="s">
        <v>190</v>
      </c>
      <c r="K198" s="383" t="s">
        <v>115</v>
      </c>
    </row>
    <row r="199" spans="2:11">
      <c r="B199" s="440"/>
      <c r="C199" s="140" t="s">
        <v>169</v>
      </c>
      <c r="D199" s="140" t="s">
        <v>168</v>
      </c>
      <c r="E199" s="125" t="s">
        <v>177</v>
      </c>
      <c r="F199" s="376"/>
      <c r="G199" s="376"/>
      <c r="H199" s="379"/>
      <c r="I199" s="381"/>
      <c r="J199" s="379"/>
      <c r="K199" s="361"/>
    </row>
    <row r="200" spans="2:11">
      <c r="B200" s="440"/>
      <c r="C200" s="140" t="s">
        <v>171</v>
      </c>
      <c r="D200" s="140" t="s">
        <v>170</v>
      </c>
      <c r="E200" s="125" t="s">
        <v>177</v>
      </c>
      <c r="F200" s="377"/>
      <c r="G200" s="377"/>
      <c r="H200" s="380"/>
      <c r="I200" s="382"/>
      <c r="J200" s="380"/>
      <c r="K200" s="384"/>
    </row>
    <row r="201" spans="2:11">
      <c r="B201" s="440"/>
      <c r="C201" s="348" t="s">
        <v>226</v>
      </c>
      <c r="D201" s="348" t="s">
        <v>227</v>
      </c>
      <c r="E201" s="348" t="s">
        <v>182</v>
      </c>
      <c r="F201" s="151" t="s">
        <v>195</v>
      </c>
      <c r="G201" s="137" t="s">
        <v>198</v>
      </c>
      <c r="H201" s="122" t="s">
        <v>209</v>
      </c>
      <c r="I201" s="116">
        <v>3000</v>
      </c>
      <c r="J201" s="122" t="s">
        <v>200</v>
      </c>
      <c r="K201" s="130" t="s">
        <v>115</v>
      </c>
    </row>
    <row r="202" spans="2:11">
      <c r="B202" s="440"/>
      <c r="C202" s="381"/>
      <c r="D202" s="381"/>
      <c r="E202" s="381"/>
      <c r="F202" s="151" t="s">
        <v>196</v>
      </c>
      <c r="G202" s="137" t="s">
        <v>198</v>
      </c>
      <c r="H202" s="122" t="s">
        <v>209</v>
      </c>
      <c r="I202" s="116">
        <v>3000</v>
      </c>
      <c r="J202" s="122" t="s">
        <v>200</v>
      </c>
      <c r="K202" s="130" t="s">
        <v>115</v>
      </c>
    </row>
    <row r="203" spans="2:11">
      <c r="B203" s="440"/>
      <c r="C203" s="382"/>
      <c r="D203" s="382"/>
      <c r="E203" s="382"/>
      <c r="F203" s="150" t="s">
        <v>197</v>
      </c>
      <c r="G203" s="136" t="s">
        <v>199</v>
      </c>
      <c r="H203" s="122" t="s">
        <v>209</v>
      </c>
      <c r="I203" s="116">
        <v>3000</v>
      </c>
      <c r="J203" s="122" t="s">
        <v>200</v>
      </c>
      <c r="K203" s="130" t="s">
        <v>115</v>
      </c>
    </row>
    <row r="204" spans="2:11">
      <c r="B204" s="440"/>
      <c r="C204" s="121" t="s">
        <v>226</v>
      </c>
      <c r="D204" s="121" t="s">
        <v>227</v>
      </c>
      <c r="E204" s="121" t="s">
        <v>181</v>
      </c>
      <c r="F204" s="150" t="s">
        <v>202</v>
      </c>
      <c r="G204" s="136" t="s">
        <v>205</v>
      </c>
      <c r="H204" s="122" t="s">
        <v>212</v>
      </c>
      <c r="I204" s="116">
        <v>13306</v>
      </c>
      <c r="J204" s="122" t="s">
        <v>213</v>
      </c>
      <c r="K204" s="130" t="s">
        <v>115</v>
      </c>
    </row>
    <row r="205" spans="2:11">
      <c r="B205" s="440"/>
      <c r="C205" s="121" t="s">
        <v>226</v>
      </c>
      <c r="D205" s="121" t="s">
        <v>227</v>
      </c>
      <c r="E205" s="121" t="s">
        <v>181</v>
      </c>
      <c r="F205" s="150" t="s">
        <v>201</v>
      </c>
      <c r="G205" s="136" t="s">
        <v>204</v>
      </c>
      <c r="H205" s="122" t="s">
        <v>210</v>
      </c>
      <c r="I205" s="116">
        <v>13306</v>
      </c>
      <c r="J205" s="122" t="s">
        <v>213</v>
      </c>
      <c r="K205" s="130" t="s">
        <v>115</v>
      </c>
    </row>
    <row r="206" spans="2:11" ht="18" thickBot="1">
      <c r="B206" s="441"/>
      <c r="C206" s="132" t="s">
        <v>226</v>
      </c>
      <c r="D206" s="132" t="s">
        <v>227</v>
      </c>
      <c r="E206" s="132" t="s">
        <v>181</v>
      </c>
      <c r="F206" s="152" t="s">
        <v>203</v>
      </c>
      <c r="G206" s="138" t="s">
        <v>206</v>
      </c>
      <c r="H206" s="133" t="s">
        <v>211</v>
      </c>
      <c r="I206" s="134">
        <v>13306</v>
      </c>
      <c r="J206" s="133" t="s">
        <v>213</v>
      </c>
      <c r="K206" s="135" t="s">
        <v>115</v>
      </c>
    </row>
    <row r="207" spans="2:11">
      <c r="B207" s="439" t="s">
        <v>377</v>
      </c>
      <c r="C207" s="391" t="s">
        <v>228</v>
      </c>
      <c r="D207" s="391" t="s">
        <v>231</v>
      </c>
      <c r="E207" s="391" t="s">
        <v>182</v>
      </c>
      <c r="F207" s="153" t="s">
        <v>147</v>
      </c>
      <c r="G207" s="127" t="s">
        <v>148</v>
      </c>
      <c r="H207" s="128" t="s">
        <v>149</v>
      </c>
      <c r="I207" s="128" t="s">
        <v>150</v>
      </c>
      <c r="J207" s="128" t="s">
        <v>151</v>
      </c>
      <c r="K207" s="129" t="s">
        <v>115</v>
      </c>
    </row>
    <row r="208" spans="2:11">
      <c r="B208" s="440"/>
      <c r="C208" s="381"/>
      <c r="D208" s="381"/>
      <c r="E208" s="381"/>
      <c r="F208" s="151" t="s">
        <v>156</v>
      </c>
      <c r="G208" s="117" t="s">
        <v>152</v>
      </c>
      <c r="H208" s="116" t="s">
        <v>149</v>
      </c>
      <c r="I208" s="116" t="s">
        <v>150</v>
      </c>
      <c r="J208" s="116" t="s">
        <v>151</v>
      </c>
      <c r="K208" s="130" t="s">
        <v>115</v>
      </c>
    </row>
    <row r="209" spans="2:11">
      <c r="B209" s="440"/>
      <c r="C209" s="381"/>
      <c r="D209" s="381"/>
      <c r="E209" s="381"/>
      <c r="F209" s="151" t="s">
        <v>157</v>
      </c>
      <c r="G209" s="117" t="s">
        <v>153</v>
      </c>
      <c r="H209" s="116" t="s">
        <v>149</v>
      </c>
      <c r="I209" s="116" t="s">
        <v>150</v>
      </c>
      <c r="J209" s="116" t="s">
        <v>151</v>
      </c>
      <c r="K209" s="130" t="s">
        <v>115</v>
      </c>
    </row>
    <row r="210" spans="2:11">
      <c r="B210" s="440"/>
      <c r="C210" s="381"/>
      <c r="D210" s="381"/>
      <c r="E210" s="381"/>
      <c r="F210" s="151" t="s">
        <v>158</v>
      </c>
      <c r="G210" s="117" t="s">
        <v>154</v>
      </c>
      <c r="H210" s="116" t="s">
        <v>149</v>
      </c>
      <c r="I210" s="116" t="s">
        <v>150</v>
      </c>
      <c r="J210" s="116" t="s">
        <v>151</v>
      </c>
      <c r="K210" s="130" t="s">
        <v>115</v>
      </c>
    </row>
    <row r="211" spans="2:11">
      <c r="B211" s="440"/>
      <c r="C211" s="381"/>
      <c r="D211" s="381"/>
      <c r="E211" s="381"/>
      <c r="F211" s="151" t="s">
        <v>159</v>
      </c>
      <c r="G211" s="117" t="s">
        <v>155</v>
      </c>
      <c r="H211" s="116" t="s">
        <v>149</v>
      </c>
      <c r="I211" s="116" t="s">
        <v>150</v>
      </c>
      <c r="J211" s="116" t="s">
        <v>151</v>
      </c>
      <c r="K211" s="130" t="s">
        <v>115</v>
      </c>
    </row>
    <row r="212" spans="2:11">
      <c r="B212" s="440"/>
      <c r="C212" s="381"/>
      <c r="D212" s="381"/>
      <c r="E212" s="381"/>
      <c r="F212" s="151" t="s">
        <v>161</v>
      </c>
      <c r="G212" s="137" t="s">
        <v>160</v>
      </c>
      <c r="H212" s="116" t="s">
        <v>176</v>
      </c>
      <c r="I212" s="116" t="s">
        <v>193</v>
      </c>
      <c r="J212" s="116" t="s">
        <v>175</v>
      </c>
      <c r="K212" s="130" t="s">
        <v>115</v>
      </c>
    </row>
    <row r="213" spans="2:11">
      <c r="B213" s="440"/>
      <c r="C213" s="381"/>
      <c r="D213" s="381"/>
      <c r="E213" s="381"/>
      <c r="F213" s="151" t="s">
        <v>163</v>
      </c>
      <c r="G213" s="137" t="s">
        <v>162</v>
      </c>
      <c r="H213" s="116" t="s">
        <v>176</v>
      </c>
      <c r="I213" s="116" t="s">
        <v>193</v>
      </c>
      <c r="J213" s="116" t="s">
        <v>175</v>
      </c>
      <c r="K213" s="130" t="s">
        <v>115</v>
      </c>
    </row>
    <row r="214" spans="2:11">
      <c r="B214" s="440"/>
      <c r="C214" s="382"/>
      <c r="D214" s="382"/>
      <c r="E214" s="382"/>
      <c r="F214" s="151" t="s">
        <v>165</v>
      </c>
      <c r="G214" s="137" t="s">
        <v>164</v>
      </c>
      <c r="H214" s="116" t="s">
        <v>176</v>
      </c>
      <c r="I214" s="116" t="s">
        <v>193</v>
      </c>
      <c r="J214" s="116" t="s">
        <v>175</v>
      </c>
      <c r="K214" s="130" t="s">
        <v>115</v>
      </c>
    </row>
    <row r="215" spans="2:11">
      <c r="B215" s="440"/>
      <c r="C215" s="139" t="s">
        <v>161</v>
      </c>
      <c r="D215" s="139" t="s">
        <v>160</v>
      </c>
      <c r="E215" s="118" t="s">
        <v>176</v>
      </c>
      <c r="F215" s="375" t="s">
        <v>228</v>
      </c>
      <c r="G215" s="375" t="s">
        <v>229</v>
      </c>
      <c r="H215" s="378" t="s">
        <v>188</v>
      </c>
      <c r="I215" s="348" t="s">
        <v>189</v>
      </c>
      <c r="J215" s="378" t="s">
        <v>190</v>
      </c>
      <c r="K215" s="383" t="s">
        <v>115</v>
      </c>
    </row>
    <row r="216" spans="2:11">
      <c r="B216" s="440"/>
      <c r="C216" s="139" t="s">
        <v>163</v>
      </c>
      <c r="D216" s="139" t="s">
        <v>162</v>
      </c>
      <c r="E216" s="118" t="s">
        <v>176</v>
      </c>
      <c r="F216" s="376"/>
      <c r="G216" s="376"/>
      <c r="H216" s="379"/>
      <c r="I216" s="381"/>
      <c r="J216" s="379"/>
      <c r="K216" s="361"/>
    </row>
    <row r="217" spans="2:11">
      <c r="B217" s="440"/>
      <c r="C217" s="139" t="s">
        <v>165</v>
      </c>
      <c r="D217" s="139" t="s">
        <v>164</v>
      </c>
      <c r="E217" s="118" t="s">
        <v>176</v>
      </c>
      <c r="F217" s="377"/>
      <c r="G217" s="377"/>
      <c r="H217" s="380"/>
      <c r="I217" s="382"/>
      <c r="J217" s="380"/>
      <c r="K217" s="384"/>
    </row>
    <row r="218" spans="2:11">
      <c r="B218" s="440"/>
      <c r="C218" s="348" t="s">
        <v>228</v>
      </c>
      <c r="D218" s="348" t="s">
        <v>229</v>
      </c>
      <c r="E218" s="348" t="s">
        <v>181</v>
      </c>
      <c r="F218" s="150" t="s">
        <v>191</v>
      </c>
      <c r="G218" s="136" t="s">
        <v>192</v>
      </c>
      <c r="H218" s="122" t="s">
        <v>177</v>
      </c>
      <c r="I218" s="116" t="s">
        <v>194</v>
      </c>
      <c r="J218" s="122" t="s">
        <v>174</v>
      </c>
      <c r="K218" s="130" t="s">
        <v>115</v>
      </c>
    </row>
    <row r="219" spans="2:11">
      <c r="B219" s="440"/>
      <c r="C219" s="381"/>
      <c r="D219" s="381"/>
      <c r="E219" s="381"/>
      <c r="F219" s="150" t="s">
        <v>169</v>
      </c>
      <c r="G219" s="136" t="s">
        <v>168</v>
      </c>
      <c r="H219" s="122" t="s">
        <v>177</v>
      </c>
      <c r="I219" s="116" t="s">
        <v>194</v>
      </c>
      <c r="J219" s="122" t="s">
        <v>174</v>
      </c>
      <c r="K219" s="130" t="s">
        <v>115</v>
      </c>
    </row>
    <row r="220" spans="2:11">
      <c r="B220" s="440"/>
      <c r="C220" s="382"/>
      <c r="D220" s="382"/>
      <c r="E220" s="382"/>
      <c r="F220" s="150" t="s">
        <v>171</v>
      </c>
      <c r="G220" s="136" t="s">
        <v>170</v>
      </c>
      <c r="H220" s="122" t="s">
        <v>177</v>
      </c>
      <c r="I220" s="116" t="s">
        <v>194</v>
      </c>
      <c r="J220" s="122" t="s">
        <v>174</v>
      </c>
      <c r="K220" s="130" t="s">
        <v>115</v>
      </c>
    </row>
    <row r="221" spans="2:11">
      <c r="B221" s="440"/>
      <c r="C221" s="140" t="s">
        <v>191</v>
      </c>
      <c r="D221" s="140" t="s">
        <v>192</v>
      </c>
      <c r="E221" s="125" t="s">
        <v>177</v>
      </c>
      <c r="F221" s="375" t="s">
        <v>228</v>
      </c>
      <c r="G221" s="375" t="s">
        <v>229</v>
      </c>
      <c r="H221" s="378" t="s">
        <v>188</v>
      </c>
      <c r="I221" s="348" t="s">
        <v>189</v>
      </c>
      <c r="J221" s="378" t="s">
        <v>190</v>
      </c>
      <c r="K221" s="383" t="s">
        <v>115</v>
      </c>
    </row>
    <row r="222" spans="2:11">
      <c r="B222" s="440"/>
      <c r="C222" s="140" t="s">
        <v>169</v>
      </c>
      <c r="D222" s="140" t="s">
        <v>168</v>
      </c>
      <c r="E222" s="125" t="s">
        <v>177</v>
      </c>
      <c r="F222" s="376"/>
      <c r="G222" s="376"/>
      <c r="H222" s="379"/>
      <c r="I222" s="381"/>
      <c r="J222" s="379"/>
      <c r="K222" s="361"/>
    </row>
    <row r="223" spans="2:11">
      <c r="B223" s="440"/>
      <c r="C223" s="140" t="s">
        <v>171</v>
      </c>
      <c r="D223" s="140" t="s">
        <v>170</v>
      </c>
      <c r="E223" s="125" t="s">
        <v>177</v>
      </c>
      <c r="F223" s="377"/>
      <c r="G223" s="377"/>
      <c r="H223" s="380"/>
      <c r="I223" s="382"/>
      <c r="J223" s="380"/>
      <c r="K223" s="384"/>
    </row>
    <row r="224" spans="2:11">
      <c r="B224" s="440"/>
      <c r="C224" s="348" t="s">
        <v>228</v>
      </c>
      <c r="D224" s="348" t="s">
        <v>229</v>
      </c>
      <c r="E224" s="348" t="s">
        <v>182</v>
      </c>
      <c r="F224" s="151" t="s">
        <v>195</v>
      </c>
      <c r="G224" s="137" t="s">
        <v>198</v>
      </c>
      <c r="H224" s="122" t="s">
        <v>209</v>
      </c>
      <c r="I224" s="116">
        <v>3000</v>
      </c>
      <c r="J224" s="122" t="s">
        <v>200</v>
      </c>
      <c r="K224" s="130" t="s">
        <v>115</v>
      </c>
    </row>
    <row r="225" spans="2:11">
      <c r="B225" s="440"/>
      <c r="C225" s="381"/>
      <c r="D225" s="381"/>
      <c r="E225" s="381"/>
      <c r="F225" s="151" t="s">
        <v>196</v>
      </c>
      <c r="G225" s="137" t="s">
        <v>198</v>
      </c>
      <c r="H225" s="122" t="s">
        <v>209</v>
      </c>
      <c r="I225" s="116">
        <v>3000</v>
      </c>
      <c r="J225" s="122" t="s">
        <v>200</v>
      </c>
      <c r="K225" s="130" t="s">
        <v>115</v>
      </c>
    </row>
    <row r="226" spans="2:11">
      <c r="B226" s="440"/>
      <c r="C226" s="382"/>
      <c r="D226" s="382"/>
      <c r="E226" s="382"/>
      <c r="F226" s="150" t="s">
        <v>197</v>
      </c>
      <c r="G226" s="136" t="s">
        <v>199</v>
      </c>
      <c r="H226" s="122" t="s">
        <v>209</v>
      </c>
      <c r="I226" s="116">
        <v>3000</v>
      </c>
      <c r="J226" s="122" t="s">
        <v>200</v>
      </c>
      <c r="K226" s="130" t="s">
        <v>115</v>
      </c>
    </row>
    <row r="227" spans="2:11">
      <c r="B227" s="440"/>
      <c r="C227" s="121" t="s">
        <v>228</v>
      </c>
      <c r="D227" s="121" t="s">
        <v>229</v>
      </c>
      <c r="E227" s="121" t="s">
        <v>181</v>
      </c>
      <c r="F227" s="150" t="s">
        <v>202</v>
      </c>
      <c r="G227" s="136" t="s">
        <v>205</v>
      </c>
      <c r="H227" s="122" t="s">
        <v>212</v>
      </c>
      <c r="I227" s="116">
        <v>13306</v>
      </c>
      <c r="J227" s="122" t="s">
        <v>213</v>
      </c>
      <c r="K227" s="130" t="s">
        <v>115</v>
      </c>
    </row>
    <row r="228" spans="2:11">
      <c r="B228" s="440"/>
      <c r="C228" s="121" t="s">
        <v>228</v>
      </c>
      <c r="D228" s="121" t="s">
        <v>229</v>
      </c>
      <c r="E228" s="121" t="s">
        <v>181</v>
      </c>
      <c r="F228" s="150" t="s">
        <v>201</v>
      </c>
      <c r="G228" s="136" t="s">
        <v>204</v>
      </c>
      <c r="H228" s="122" t="s">
        <v>210</v>
      </c>
      <c r="I228" s="116">
        <v>13306</v>
      </c>
      <c r="J228" s="122" t="s">
        <v>213</v>
      </c>
      <c r="K228" s="130" t="s">
        <v>115</v>
      </c>
    </row>
    <row r="229" spans="2:11" ht="18" thickBot="1">
      <c r="B229" s="441"/>
      <c r="C229" s="132" t="s">
        <v>228</v>
      </c>
      <c r="D229" s="132" t="s">
        <v>229</v>
      </c>
      <c r="E229" s="132" t="s">
        <v>181</v>
      </c>
      <c r="F229" s="152" t="s">
        <v>203</v>
      </c>
      <c r="G229" s="138" t="s">
        <v>206</v>
      </c>
      <c r="H229" s="133" t="s">
        <v>211</v>
      </c>
      <c r="I229" s="134">
        <v>13306</v>
      </c>
      <c r="J229" s="133" t="s">
        <v>213</v>
      </c>
      <c r="K229" s="135" t="s">
        <v>115</v>
      </c>
    </row>
    <row r="230" spans="2:11">
      <c r="B230" s="439" t="s">
        <v>378</v>
      </c>
      <c r="C230" s="391" t="s">
        <v>230</v>
      </c>
      <c r="D230" s="391" t="s">
        <v>232</v>
      </c>
      <c r="E230" s="391" t="s">
        <v>182</v>
      </c>
      <c r="F230" s="153" t="s">
        <v>147</v>
      </c>
      <c r="G230" s="127" t="s">
        <v>148</v>
      </c>
      <c r="H230" s="128" t="s">
        <v>149</v>
      </c>
      <c r="I230" s="128" t="s">
        <v>150</v>
      </c>
      <c r="J230" s="128" t="s">
        <v>151</v>
      </c>
      <c r="K230" s="129" t="s">
        <v>115</v>
      </c>
    </row>
    <row r="231" spans="2:11">
      <c r="B231" s="440"/>
      <c r="C231" s="381"/>
      <c r="D231" s="381"/>
      <c r="E231" s="381"/>
      <c r="F231" s="151" t="s">
        <v>156</v>
      </c>
      <c r="G231" s="117" t="s">
        <v>152</v>
      </c>
      <c r="H231" s="116" t="s">
        <v>149</v>
      </c>
      <c r="I231" s="116" t="s">
        <v>150</v>
      </c>
      <c r="J231" s="116" t="s">
        <v>151</v>
      </c>
      <c r="K231" s="130" t="s">
        <v>115</v>
      </c>
    </row>
    <row r="232" spans="2:11">
      <c r="B232" s="440"/>
      <c r="C232" s="381"/>
      <c r="D232" s="381"/>
      <c r="E232" s="381"/>
      <c r="F232" s="151" t="s">
        <v>157</v>
      </c>
      <c r="G232" s="117" t="s">
        <v>153</v>
      </c>
      <c r="H232" s="116" t="s">
        <v>149</v>
      </c>
      <c r="I232" s="116" t="s">
        <v>150</v>
      </c>
      <c r="J232" s="116" t="s">
        <v>151</v>
      </c>
      <c r="K232" s="130" t="s">
        <v>115</v>
      </c>
    </row>
    <row r="233" spans="2:11">
      <c r="B233" s="440"/>
      <c r="C233" s="381"/>
      <c r="D233" s="381"/>
      <c r="E233" s="381"/>
      <c r="F233" s="151" t="s">
        <v>158</v>
      </c>
      <c r="G233" s="117" t="s">
        <v>154</v>
      </c>
      <c r="H233" s="116" t="s">
        <v>149</v>
      </c>
      <c r="I233" s="116" t="s">
        <v>150</v>
      </c>
      <c r="J233" s="116" t="s">
        <v>151</v>
      </c>
      <c r="K233" s="130" t="s">
        <v>115</v>
      </c>
    </row>
    <row r="234" spans="2:11">
      <c r="B234" s="440"/>
      <c r="C234" s="381"/>
      <c r="D234" s="381"/>
      <c r="E234" s="381"/>
      <c r="F234" s="151" t="s">
        <v>159</v>
      </c>
      <c r="G234" s="117" t="s">
        <v>155</v>
      </c>
      <c r="H234" s="116" t="s">
        <v>149</v>
      </c>
      <c r="I234" s="116" t="s">
        <v>150</v>
      </c>
      <c r="J234" s="116" t="s">
        <v>151</v>
      </c>
      <c r="K234" s="130" t="s">
        <v>115</v>
      </c>
    </row>
    <row r="235" spans="2:11">
      <c r="B235" s="440"/>
      <c r="C235" s="381"/>
      <c r="D235" s="381"/>
      <c r="E235" s="381"/>
      <c r="F235" s="151" t="s">
        <v>161</v>
      </c>
      <c r="G235" s="137" t="s">
        <v>160</v>
      </c>
      <c r="H235" s="116" t="s">
        <v>176</v>
      </c>
      <c r="I235" s="116" t="s">
        <v>193</v>
      </c>
      <c r="J235" s="116" t="s">
        <v>175</v>
      </c>
      <c r="K235" s="130" t="s">
        <v>115</v>
      </c>
    </row>
    <row r="236" spans="2:11">
      <c r="B236" s="440"/>
      <c r="C236" s="381"/>
      <c r="D236" s="381"/>
      <c r="E236" s="381"/>
      <c r="F236" s="151" t="s">
        <v>163</v>
      </c>
      <c r="G236" s="137" t="s">
        <v>162</v>
      </c>
      <c r="H236" s="116" t="s">
        <v>176</v>
      </c>
      <c r="I236" s="116" t="s">
        <v>193</v>
      </c>
      <c r="J236" s="116" t="s">
        <v>175</v>
      </c>
      <c r="K236" s="130" t="s">
        <v>115</v>
      </c>
    </row>
    <row r="237" spans="2:11">
      <c r="B237" s="440"/>
      <c r="C237" s="382"/>
      <c r="D237" s="382"/>
      <c r="E237" s="382"/>
      <c r="F237" s="151" t="s">
        <v>165</v>
      </c>
      <c r="G237" s="137" t="s">
        <v>164</v>
      </c>
      <c r="H237" s="116" t="s">
        <v>176</v>
      </c>
      <c r="I237" s="116" t="s">
        <v>193</v>
      </c>
      <c r="J237" s="116" t="s">
        <v>175</v>
      </c>
      <c r="K237" s="130" t="s">
        <v>115</v>
      </c>
    </row>
    <row r="238" spans="2:11">
      <c r="B238" s="440"/>
      <c r="C238" s="139" t="s">
        <v>161</v>
      </c>
      <c r="D238" s="139" t="s">
        <v>160</v>
      </c>
      <c r="E238" s="118" t="s">
        <v>176</v>
      </c>
      <c r="F238" s="375" t="s">
        <v>230</v>
      </c>
      <c r="G238" s="375" t="s">
        <v>232</v>
      </c>
      <c r="H238" s="378" t="s">
        <v>188</v>
      </c>
      <c r="I238" s="348" t="s">
        <v>189</v>
      </c>
      <c r="J238" s="378" t="s">
        <v>190</v>
      </c>
      <c r="K238" s="383" t="s">
        <v>115</v>
      </c>
    </row>
    <row r="239" spans="2:11">
      <c r="B239" s="440"/>
      <c r="C239" s="139" t="s">
        <v>163</v>
      </c>
      <c r="D239" s="139" t="s">
        <v>162</v>
      </c>
      <c r="E239" s="118" t="s">
        <v>176</v>
      </c>
      <c r="F239" s="376"/>
      <c r="G239" s="376"/>
      <c r="H239" s="379"/>
      <c r="I239" s="381"/>
      <c r="J239" s="379"/>
      <c r="K239" s="361"/>
    </row>
    <row r="240" spans="2:11">
      <c r="B240" s="440"/>
      <c r="C240" s="139" t="s">
        <v>165</v>
      </c>
      <c r="D240" s="139" t="s">
        <v>164</v>
      </c>
      <c r="E240" s="118" t="s">
        <v>176</v>
      </c>
      <c r="F240" s="377"/>
      <c r="G240" s="377"/>
      <c r="H240" s="380"/>
      <c r="I240" s="382"/>
      <c r="J240" s="380"/>
      <c r="K240" s="384"/>
    </row>
    <row r="241" spans="2:11">
      <c r="B241" s="440"/>
      <c r="C241" s="348" t="s">
        <v>230</v>
      </c>
      <c r="D241" s="348" t="s">
        <v>232</v>
      </c>
      <c r="E241" s="348" t="s">
        <v>181</v>
      </c>
      <c r="F241" s="150" t="s">
        <v>191</v>
      </c>
      <c r="G241" s="136" t="s">
        <v>192</v>
      </c>
      <c r="H241" s="122" t="s">
        <v>177</v>
      </c>
      <c r="I241" s="116" t="s">
        <v>194</v>
      </c>
      <c r="J241" s="122" t="s">
        <v>174</v>
      </c>
      <c r="K241" s="130" t="s">
        <v>115</v>
      </c>
    </row>
    <row r="242" spans="2:11">
      <c r="B242" s="440"/>
      <c r="C242" s="381"/>
      <c r="D242" s="381"/>
      <c r="E242" s="381"/>
      <c r="F242" s="150" t="s">
        <v>169</v>
      </c>
      <c r="G242" s="136" t="s">
        <v>168</v>
      </c>
      <c r="H242" s="122" t="s">
        <v>177</v>
      </c>
      <c r="I242" s="116" t="s">
        <v>194</v>
      </c>
      <c r="J242" s="122" t="s">
        <v>174</v>
      </c>
      <c r="K242" s="130" t="s">
        <v>115</v>
      </c>
    </row>
    <row r="243" spans="2:11">
      <c r="B243" s="440"/>
      <c r="C243" s="382"/>
      <c r="D243" s="382"/>
      <c r="E243" s="382"/>
      <c r="F243" s="150" t="s">
        <v>171</v>
      </c>
      <c r="G243" s="136" t="s">
        <v>170</v>
      </c>
      <c r="H243" s="122" t="s">
        <v>177</v>
      </c>
      <c r="I243" s="116" t="s">
        <v>194</v>
      </c>
      <c r="J243" s="122" t="s">
        <v>174</v>
      </c>
      <c r="K243" s="130" t="s">
        <v>115</v>
      </c>
    </row>
    <row r="244" spans="2:11">
      <c r="B244" s="440"/>
      <c r="C244" s="140" t="s">
        <v>191</v>
      </c>
      <c r="D244" s="140" t="s">
        <v>192</v>
      </c>
      <c r="E244" s="125" t="s">
        <v>177</v>
      </c>
      <c r="F244" s="375" t="s">
        <v>230</v>
      </c>
      <c r="G244" s="375" t="s">
        <v>232</v>
      </c>
      <c r="H244" s="378" t="s">
        <v>188</v>
      </c>
      <c r="I244" s="348" t="s">
        <v>189</v>
      </c>
      <c r="J244" s="378" t="s">
        <v>190</v>
      </c>
      <c r="K244" s="383" t="s">
        <v>115</v>
      </c>
    </row>
    <row r="245" spans="2:11">
      <c r="B245" s="440"/>
      <c r="C245" s="140" t="s">
        <v>169</v>
      </c>
      <c r="D245" s="140" t="s">
        <v>168</v>
      </c>
      <c r="E245" s="125" t="s">
        <v>177</v>
      </c>
      <c r="F245" s="376"/>
      <c r="G245" s="376"/>
      <c r="H245" s="379"/>
      <c r="I245" s="381"/>
      <c r="J245" s="379"/>
      <c r="K245" s="361"/>
    </row>
    <row r="246" spans="2:11">
      <c r="B246" s="440"/>
      <c r="C246" s="140" t="s">
        <v>171</v>
      </c>
      <c r="D246" s="140" t="s">
        <v>170</v>
      </c>
      <c r="E246" s="125" t="s">
        <v>177</v>
      </c>
      <c r="F246" s="377"/>
      <c r="G246" s="377"/>
      <c r="H246" s="380"/>
      <c r="I246" s="382"/>
      <c r="J246" s="380"/>
      <c r="K246" s="384"/>
    </row>
    <row r="247" spans="2:11">
      <c r="B247" s="440"/>
      <c r="C247" s="348" t="s">
        <v>230</v>
      </c>
      <c r="D247" s="348" t="s">
        <v>232</v>
      </c>
      <c r="E247" s="348" t="s">
        <v>182</v>
      </c>
      <c r="F247" s="151" t="s">
        <v>195</v>
      </c>
      <c r="G247" s="137" t="s">
        <v>198</v>
      </c>
      <c r="H247" s="122" t="s">
        <v>209</v>
      </c>
      <c r="I247" s="116">
        <v>3000</v>
      </c>
      <c r="J247" s="122" t="s">
        <v>200</v>
      </c>
      <c r="K247" s="130" t="s">
        <v>115</v>
      </c>
    </row>
    <row r="248" spans="2:11">
      <c r="B248" s="440"/>
      <c r="C248" s="381"/>
      <c r="D248" s="381"/>
      <c r="E248" s="381"/>
      <c r="F248" s="151" t="s">
        <v>196</v>
      </c>
      <c r="G248" s="137" t="s">
        <v>198</v>
      </c>
      <c r="H248" s="122" t="s">
        <v>209</v>
      </c>
      <c r="I248" s="116">
        <v>3000</v>
      </c>
      <c r="J248" s="122" t="s">
        <v>200</v>
      </c>
      <c r="K248" s="130" t="s">
        <v>115</v>
      </c>
    </row>
    <row r="249" spans="2:11">
      <c r="B249" s="440"/>
      <c r="C249" s="382"/>
      <c r="D249" s="382"/>
      <c r="E249" s="382"/>
      <c r="F249" s="150" t="s">
        <v>197</v>
      </c>
      <c r="G249" s="136" t="s">
        <v>199</v>
      </c>
      <c r="H249" s="122" t="s">
        <v>209</v>
      </c>
      <c r="I249" s="116">
        <v>3000</v>
      </c>
      <c r="J249" s="122" t="s">
        <v>200</v>
      </c>
      <c r="K249" s="130" t="s">
        <v>115</v>
      </c>
    </row>
    <row r="250" spans="2:11">
      <c r="B250" s="440"/>
      <c r="C250" s="121" t="s">
        <v>230</v>
      </c>
      <c r="D250" s="121" t="s">
        <v>232</v>
      </c>
      <c r="E250" s="121" t="s">
        <v>181</v>
      </c>
      <c r="F250" s="150" t="s">
        <v>202</v>
      </c>
      <c r="G250" s="136" t="s">
        <v>205</v>
      </c>
      <c r="H250" s="122" t="s">
        <v>212</v>
      </c>
      <c r="I250" s="116">
        <v>13306</v>
      </c>
      <c r="J250" s="122" t="s">
        <v>213</v>
      </c>
      <c r="K250" s="130" t="s">
        <v>115</v>
      </c>
    </row>
    <row r="251" spans="2:11">
      <c r="B251" s="440"/>
      <c r="C251" s="121" t="s">
        <v>230</v>
      </c>
      <c r="D251" s="121" t="s">
        <v>232</v>
      </c>
      <c r="E251" s="121" t="s">
        <v>181</v>
      </c>
      <c r="F251" s="150" t="s">
        <v>201</v>
      </c>
      <c r="G251" s="136" t="s">
        <v>204</v>
      </c>
      <c r="H251" s="122" t="s">
        <v>210</v>
      </c>
      <c r="I251" s="116">
        <v>13306</v>
      </c>
      <c r="J251" s="122" t="s">
        <v>213</v>
      </c>
      <c r="K251" s="130" t="s">
        <v>115</v>
      </c>
    </row>
    <row r="252" spans="2:11" ht="18" thickBot="1">
      <c r="B252" s="440"/>
      <c r="C252" s="120" t="s">
        <v>230</v>
      </c>
      <c r="D252" s="120" t="s">
        <v>232</v>
      </c>
      <c r="E252" s="120" t="s">
        <v>181</v>
      </c>
      <c r="F252" s="154" t="s">
        <v>203</v>
      </c>
      <c r="G252" s="147" t="s">
        <v>206</v>
      </c>
      <c r="H252" s="126" t="s">
        <v>211</v>
      </c>
      <c r="I252" s="123">
        <v>13306</v>
      </c>
      <c r="J252" s="126" t="s">
        <v>213</v>
      </c>
      <c r="K252" s="131" t="s">
        <v>115</v>
      </c>
    </row>
    <row r="253" spans="2:11">
      <c r="B253" s="396" t="s">
        <v>237</v>
      </c>
      <c r="C253" s="171" t="s">
        <v>233</v>
      </c>
      <c r="D253" s="172" t="s">
        <v>235</v>
      </c>
      <c r="E253" s="148" t="s">
        <v>238</v>
      </c>
      <c r="F253" s="398" t="s">
        <v>240</v>
      </c>
      <c r="G253" s="398" t="s">
        <v>272</v>
      </c>
      <c r="H253" s="394" t="s">
        <v>243</v>
      </c>
      <c r="I253" s="336">
        <v>80</v>
      </c>
      <c r="J253" s="394" t="s">
        <v>244</v>
      </c>
      <c r="K253" s="395" t="s">
        <v>115</v>
      </c>
    </row>
    <row r="254" spans="2:11" ht="18" thickBot="1">
      <c r="B254" s="397"/>
      <c r="C254" s="173" t="s">
        <v>234</v>
      </c>
      <c r="D254" s="174" t="s">
        <v>236</v>
      </c>
      <c r="E254" s="119" t="s">
        <v>239</v>
      </c>
      <c r="F254" s="375"/>
      <c r="G254" s="375"/>
      <c r="H254" s="378"/>
      <c r="I254" s="348"/>
      <c r="J254" s="378"/>
      <c r="K254" s="383"/>
    </row>
    <row r="255" spans="2:11" ht="36" customHeight="1">
      <c r="B255" s="390" t="s">
        <v>245</v>
      </c>
      <c r="C255" s="399" t="s">
        <v>246</v>
      </c>
      <c r="D255" s="402"/>
      <c r="E255" s="405" t="s">
        <v>245</v>
      </c>
      <c r="F255" s="163" t="s">
        <v>202</v>
      </c>
      <c r="G255" s="163" t="s">
        <v>205</v>
      </c>
      <c r="H255" s="164" t="s">
        <v>212</v>
      </c>
      <c r="I255" s="165">
        <v>13306</v>
      </c>
      <c r="J255" s="164" t="s">
        <v>213</v>
      </c>
      <c r="K255" s="166" t="s">
        <v>115</v>
      </c>
    </row>
    <row r="256" spans="2:11">
      <c r="B256" s="388"/>
      <c r="C256" s="400"/>
      <c r="D256" s="403"/>
      <c r="E256" s="406"/>
      <c r="F256" s="157" t="s">
        <v>201</v>
      </c>
      <c r="G256" s="157" t="s">
        <v>204</v>
      </c>
      <c r="H256" s="158" t="s">
        <v>210</v>
      </c>
      <c r="I256" s="159">
        <v>13306</v>
      </c>
      <c r="J256" s="158" t="s">
        <v>213</v>
      </c>
      <c r="K256" s="167" t="s">
        <v>115</v>
      </c>
    </row>
    <row r="257" spans="2:12">
      <c r="B257" s="388"/>
      <c r="C257" s="400"/>
      <c r="D257" s="403"/>
      <c r="E257" s="406"/>
      <c r="F257" s="196" t="s">
        <v>277</v>
      </c>
      <c r="G257" s="196" t="s">
        <v>276</v>
      </c>
      <c r="H257" s="197" t="s">
        <v>275</v>
      </c>
      <c r="I257" s="159">
        <v>13306</v>
      </c>
      <c r="J257" s="197" t="s">
        <v>278</v>
      </c>
      <c r="K257" s="167" t="s">
        <v>115</v>
      </c>
    </row>
    <row r="258" spans="2:12">
      <c r="B258" s="388"/>
      <c r="C258" s="400"/>
      <c r="D258" s="403"/>
      <c r="E258" s="406"/>
      <c r="F258" s="160" t="s">
        <v>250</v>
      </c>
      <c r="G258" s="161" t="s">
        <v>253</v>
      </c>
      <c r="H258" s="158" t="s">
        <v>252</v>
      </c>
      <c r="I258" s="162" t="s">
        <v>251</v>
      </c>
      <c r="J258" s="158" t="s">
        <v>258</v>
      </c>
      <c r="K258" s="167" t="s">
        <v>115</v>
      </c>
    </row>
    <row r="259" spans="2:12">
      <c r="B259" s="388"/>
      <c r="C259" s="400"/>
      <c r="D259" s="403"/>
      <c r="E259" s="406"/>
      <c r="F259" s="160" t="s">
        <v>256</v>
      </c>
      <c r="G259" s="161" t="s">
        <v>254</v>
      </c>
      <c r="H259" s="158" t="s">
        <v>252</v>
      </c>
      <c r="I259" s="162" t="s">
        <v>251</v>
      </c>
      <c r="J259" s="158" t="s">
        <v>258</v>
      </c>
      <c r="K259" s="167" t="s">
        <v>115</v>
      </c>
    </row>
    <row r="260" spans="2:12">
      <c r="B260" s="388"/>
      <c r="C260" s="400"/>
      <c r="D260" s="403"/>
      <c r="E260" s="406"/>
      <c r="F260" s="160" t="s">
        <v>257</v>
      </c>
      <c r="G260" s="161" t="s">
        <v>255</v>
      </c>
      <c r="H260" s="158" t="s">
        <v>252</v>
      </c>
      <c r="I260" s="162" t="s">
        <v>251</v>
      </c>
      <c r="J260" s="158" t="s">
        <v>258</v>
      </c>
      <c r="K260" s="167" t="s">
        <v>115</v>
      </c>
    </row>
    <row r="261" spans="2:12">
      <c r="B261" s="388"/>
      <c r="C261" s="400"/>
      <c r="D261" s="403"/>
      <c r="E261" s="406"/>
      <c r="F261" s="203" t="s">
        <v>281</v>
      </c>
      <c r="G261" s="161"/>
      <c r="H261" s="197" t="s">
        <v>261</v>
      </c>
      <c r="I261" s="162">
        <v>18180</v>
      </c>
      <c r="J261" s="197" t="s">
        <v>262</v>
      </c>
      <c r="K261" s="204" t="s">
        <v>115</v>
      </c>
      <c r="L261" s="71" t="s">
        <v>375</v>
      </c>
    </row>
    <row r="262" spans="2:12" ht="61" thickBot="1">
      <c r="B262" s="389"/>
      <c r="C262" s="401"/>
      <c r="D262" s="404"/>
      <c r="E262" s="407"/>
      <c r="F262" s="205" t="s">
        <v>282</v>
      </c>
      <c r="G262" s="206" t="s">
        <v>283</v>
      </c>
      <c r="H262" s="169" t="s">
        <v>284</v>
      </c>
      <c r="I262" s="168">
        <v>443</v>
      </c>
      <c r="J262" s="169" t="s">
        <v>285</v>
      </c>
      <c r="K262" s="170" t="s">
        <v>115</v>
      </c>
      <c r="L262" s="71" t="s">
        <v>289</v>
      </c>
    </row>
    <row r="263" spans="2:12" ht="17" customHeight="1">
      <c r="B263" s="390" t="s">
        <v>245</v>
      </c>
      <c r="C263" s="399" t="s">
        <v>247</v>
      </c>
      <c r="D263" s="402"/>
      <c r="E263" s="408" t="s">
        <v>248</v>
      </c>
      <c r="F263" s="199" t="s">
        <v>202</v>
      </c>
      <c r="G263" s="199" t="s">
        <v>205</v>
      </c>
      <c r="H263" s="200" t="s">
        <v>212</v>
      </c>
      <c r="I263" s="201">
        <v>13306</v>
      </c>
      <c r="J263" s="200" t="s">
        <v>213</v>
      </c>
      <c r="K263" s="202" t="s">
        <v>115</v>
      </c>
    </row>
    <row r="264" spans="2:12">
      <c r="B264" s="388"/>
      <c r="C264" s="400"/>
      <c r="D264" s="403"/>
      <c r="E264" s="409"/>
      <c r="F264" s="157" t="s">
        <v>201</v>
      </c>
      <c r="G264" s="157" t="s">
        <v>204</v>
      </c>
      <c r="H264" s="158" t="s">
        <v>210</v>
      </c>
      <c r="I264" s="159">
        <v>13306</v>
      </c>
      <c r="J264" s="158" t="s">
        <v>213</v>
      </c>
      <c r="K264" s="167" t="s">
        <v>115</v>
      </c>
    </row>
    <row r="265" spans="2:12">
      <c r="B265" s="388"/>
      <c r="C265" s="400"/>
      <c r="D265" s="403"/>
      <c r="E265" s="409"/>
      <c r="F265" s="196" t="s">
        <v>277</v>
      </c>
      <c r="G265" s="196" t="s">
        <v>276</v>
      </c>
      <c r="H265" s="197" t="s">
        <v>275</v>
      </c>
      <c r="I265" s="159">
        <v>13306</v>
      </c>
      <c r="J265" s="197" t="s">
        <v>278</v>
      </c>
      <c r="K265" s="167" t="s">
        <v>115</v>
      </c>
    </row>
    <row r="266" spans="2:12">
      <c r="B266" s="388"/>
      <c r="C266" s="400"/>
      <c r="D266" s="403"/>
      <c r="E266" s="409"/>
      <c r="F266" s="160" t="s">
        <v>250</v>
      </c>
      <c r="G266" s="161" t="s">
        <v>253</v>
      </c>
      <c r="H266" s="158" t="s">
        <v>252</v>
      </c>
      <c r="I266" s="162" t="s">
        <v>251</v>
      </c>
      <c r="J266" s="158" t="s">
        <v>258</v>
      </c>
      <c r="K266" s="167" t="s">
        <v>115</v>
      </c>
    </row>
    <row r="267" spans="2:12">
      <c r="B267" s="388"/>
      <c r="C267" s="400"/>
      <c r="D267" s="403"/>
      <c r="E267" s="409"/>
      <c r="F267" s="160" t="s">
        <v>256</v>
      </c>
      <c r="G267" s="161" t="s">
        <v>254</v>
      </c>
      <c r="H267" s="158" t="s">
        <v>252</v>
      </c>
      <c r="I267" s="162" t="s">
        <v>251</v>
      </c>
      <c r="J267" s="158" t="s">
        <v>258</v>
      </c>
      <c r="K267" s="167" t="s">
        <v>115</v>
      </c>
    </row>
    <row r="268" spans="2:12">
      <c r="B268" s="388"/>
      <c r="C268" s="400"/>
      <c r="D268" s="403"/>
      <c r="E268" s="409"/>
      <c r="F268" s="160" t="s">
        <v>257</v>
      </c>
      <c r="G268" s="161" t="s">
        <v>255</v>
      </c>
      <c r="H268" s="158" t="s">
        <v>252</v>
      </c>
      <c r="I268" s="162" t="s">
        <v>251</v>
      </c>
      <c r="J268" s="158" t="s">
        <v>258</v>
      </c>
      <c r="K268" s="167" t="s">
        <v>115</v>
      </c>
    </row>
    <row r="269" spans="2:12">
      <c r="B269" s="388"/>
      <c r="C269" s="400"/>
      <c r="D269" s="403"/>
      <c r="E269" s="409"/>
      <c r="F269" s="176" t="s">
        <v>260</v>
      </c>
      <c r="G269" s="175"/>
      <c r="H269" s="177" t="s">
        <v>261</v>
      </c>
      <c r="I269" s="178">
        <v>18180</v>
      </c>
      <c r="J269" s="177" t="s">
        <v>262</v>
      </c>
      <c r="K269" s="179" t="s">
        <v>115</v>
      </c>
      <c r="L269" s="71" t="s">
        <v>375</v>
      </c>
    </row>
    <row r="270" spans="2:12" ht="61" thickBot="1">
      <c r="B270" s="388"/>
      <c r="C270" s="400"/>
      <c r="D270" s="403"/>
      <c r="E270" s="409"/>
      <c r="F270" s="207" t="s">
        <v>282</v>
      </c>
      <c r="G270" s="208" t="s">
        <v>283</v>
      </c>
      <c r="H270" s="177" t="s">
        <v>284</v>
      </c>
      <c r="I270" s="178">
        <v>443</v>
      </c>
      <c r="J270" s="177" t="s">
        <v>285</v>
      </c>
      <c r="K270" s="179" t="s">
        <v>115</v>
      </c>
      <c r="L270" s="71" t="s">
        <v>289</v>
      </c>
    </row>
    <row r="271" spans="2:12" ht="17" customHeight="1">
      <c r="B271" s="363" t="s">
        <v>311</v>
      </c>
      <c r="C271" s="366" t="s">
        <v>246</v>
      </c>
      <c r="D271" s="369"/>
      <c r="E271" s="372" t="s">
        <v>245</v>
      </c>
      <c r="F271" s="180" t="s">
        <v>264</v>
      </c>
      <c r="G271" s="180" t="s">
        <v>263</v>
      </c>
      <c r="H271" s="181" t="s">
        <v>212</v>
      </c>
      <c r="I271" s="182">
        <v>13306</v>
      </c>
      <c r="J271" s="181" t="s">
        <v>213</v>
      </c>
      <c r="K271" s="183" t="s">
        <v>115</v>
      </c>
    </row>
    <row r="272" spans="2:12">
      <c r="B272" s="364"/>
      <c r="C272" s="367"/>
      <c r="D272" s="370"/>
      <c r="E272" s="373"/>
      <c r="F272" s="184" t="s">
        <v>265</v>
      </c>
      <c r="G272" s="185" t="s">
        <v>271</v>
      </c>
      <c r="H272" s="186" t="s">
        <v>210</v>
      </c>
      <c r="I272" s="187">
        <v>13306</v>
      </c>
      <c r="J272" s="186" t="s">
        <v>213</v>
      </c>
      <c r="K272" s="188" t="s">
        <v>115</v>
      </c>
    </row>
    <row r="273" spans="2:12">
      <c r="B273" s="364"/>
      <c r="C273" s="367"/>
      <c r="D273" s="370"/>
      <c r="E273" s="373"/>
      <c r="F273" s="189" t="s">
        <v>266</v>
      </c>
      <c r="G273" s="185" t="s">
        <v>270</v>
      </c>
      <c r="H273" s="186" t="s">
        <v>249</v>
      </c>
      <c r="I273" s="187">
        <v>13306</v>
      </c>
      <c r="J273" s="186" t="s">
        <v>259</v>
      </c>
      <c r="K273" s="188" t="s">
        <v>115</v>
      </c>
    </row>
    <row r="274" spans="2:12">
      <c r="B274" s="364"/>
      <c r="C274" s="367"/>
      <c r="D274" s="370"/>
      <c r="E274" s="373"/>
      <c r="F274" s="189" t="s">
        <v>268</v>
      </c>
      <c r="G274" s="185" t="s">
        <v>269</v>
      </c>
      <c r="H274" s="186" t="s">
        <v>252</v>
      </c>
      <c r="I274" s="190">
        <v>6379</v>
      </c>
      <c r="J274" s="186" t="s">
        <v>258</v>
      </c>
      <c r="K274" s="188" t="s">
        <v>115</v>
      </c>
    </row>
    <row r="275" spans="2:12">
      <c r="B275" s="364"/>
      <c r="C275" s="367"/>
      <c r="D275" s="370"/>
      <c r="E275" s="373"/>
      <c r="F275" s="189" t="s">
        <v>267</v>
      </c>
      <c r="G275" s="209"/>
      <c r="H275" s="210" t="s">
        <v>261</v>
      </c>
      <c r="I275" s="190">
        <v>38680</v>
      </c>
      <c r="J275" s="210" t="s">
        <v>262</v>
      </c>
      <c r="K275" s="211" t="s">
        <v>115</v>
      </c>
    </row>
    <row r="276" spans="2:12" ht="18" thickBot="1">
      <c r="B276" s="365"/>
      <c r="C276" s="368"/>
      <c r="D276" s="371"/>
      <c r="E276" s="374"/>
      <c r="F276" s="191" t="s">
        <v>286</v>
      </c>
      <c r="G276" s="192" t="s">
        <v>287</v>
      </c>
      <c r="H276" s="193" t="s">
        <v>288</v>
      </c>
      <c r="I276" s="194">
        <v>443</v>
      </c>
      <c r="J276" s="193" t="s">
        <v>285</v>
      </c>
      <c r="K276" s="195" t="s">
        <v>115</v>
      </c>
      <c r="L276" s="71" t="s">
        <v>289</v>
      </c>
    </row>
    <row r="277" spans="2:12" ht="17" customHeight="1">
      <c r="B277" s="363" t="s">
        <v>311</v>
      </c>
      <c r="C277" s="385" t="s">
        <v>247</v>
      </c>
      <c r="D277" s="369"/>
      <c r="E277" s="372" t="s">
        <v>245</v>
      </c>
      <c r="F277" s="180" t="s">
        <v>264</v>
      </c>
      <c r="G277" s="180" t="s">
        <v>263</v>
      </c>
      <c r="H277" s="181" t="s">
        <v>212</v>
      </c>
      <c r="I277" s="182">
        <v>13306</v>
      </c>
      <c r="J277" s="181" t="s">
        <v>213</v>
      </c>
      <c r="K277" s="183" t="s">
        <v>115</v>
      </c>
    </row>
    <row r="278" spans="2:12">
      <c r="B278" s="364"/>
      <c r="C278" s="386"/>
      <c r="D278" s="370"/>
      <c r="E278" s="373"/>
      <c r="F278" s="184" t="s">
        <v>265</v>
      </c>
      <c r="G278" s="185" t="s">
        <v>271</v>
      </c>
      <c r="H278" s="186" t="s">
        <v>210</v>
      </c>
      <c r="I278" s="187">
        <v>13306</v>
      </c>
      <c r="J278" s="186" t="s">
        <v>213</v>
      </c>
      <c r="K278" s="188" t="s">
        <v>115</v>
      </c>
    </row>
    <row r="279" spans="2:12">
      <c r="B279" s="364"/>
      <c r="C279" s="386"/>
      <c r="D279" s="370"/>
      <c r="E279" s="373"/>
      <c r="F279" s="189" t="s">
        <v>266</v>
      </c>
      <c r="G279" s="185" t="s">
        <v>270</v>
      </c>
      <c r="H279" s="186" t="s">
        <v>249</v>
      </c>
      <c r="I279" s="187">
        <v>13306</v>
      </c>
      <c r="J279" s="186" t="s">
        <v>259</v>
      </c>
      <c r="K279" s="188" t="s">
        <v>115</v>
      </c>
    </row>
    <row r="280" spans="2:12">
      <c r="B280" s="364"/>
      <c r="C280" s="386"/>
      <c r="D280" s="370"/>
      <c r="E280" s="373"/>
      <c r="F280" s="189" t="s">
        <v>268</v>
      </c>
      <c r="G280" s="185" t="s">
        <v>269</v>
      </c>
      <c r="H280" s="186" t="s">
        <v>252</v>
      </c>
      <c r="I280" s="190">
        <v>6379</v>
      </c>
      <c r="J280" s="186" t="s">
        <v>258</v>
      </c>
      <c r="K280" s="188" t="s">
        <v>115</v>
      </c>
    </row>
    <row r="281" spans="2:12">
      <c r="B281" s="364"/>
      <c r="C281" s="386"/>
      <c r="D281" s="370"/>
      <c r="E281" s="373"/>
      <c r="F281" s="189" t="s">
        <v>267</v>
      </c>
      <c r="G281" s="209"/>
      <c r="H281" s="210" t="s">
        <v>261</v>
      </c>
      <c r="I281" s="190">
        <v>38680</v>
      </c>
      <c r="J281" s="210" t="s">
        <v>262</v>
      </c>
      <c r="K281" s="211" t="s">
        <v>115</v>
      </c>
    </row>
    <row r="282" spans="2:12" ht="18" thickBot="1">
      <c r="B282" s="365"/>
      <c r="C282" s="387"/>
      <c r="D282" s="371"/>
      <c r="E282" s="374"/>
      <c r="F282" s="191" t="s">
        <v>286</v>
      </c>
      <c r="G282" s="192" t="s">
        <v>287</v>
      </c>
      <c r="H282" s="193" t="s">
        <v>288</v>
      </c>
      <c r="I282" s="194">
        <v>443</v>
      </c>
      <c r="J282" s="193" t="s">
        <v>285</v>
      </c>
      <c r="K282" s="195" t="s">
        <v>115</v>
      </c>
      <c r="L282" s="71" t="s">
        <v>289</v>
      </c>
    </row>
    <row r="283" spans="2:12" ht="55" thickBot="1">
      <c r="B283" s="212" t="s">
        <v>294</v>
      </c>
      <c r="C283" s="213" t="s">
        <v>290</v>
      </c>
      <c r="D283" s="214" t="s">
        <v>291</v>
      </c>
      <c r="E283" s="215" t="s">
        <v>295</v>
      </c>
      <c r="F283" s="221" t="s">
        <v>292</v>
      </c>
      <c r="G283" s="216" t="s">
        <v>296</v>
      </c>
      <c r="H283" s="217" t="s">
        <v>293</v>
      </c>
      <c r="I283" s="219">
        <v>443</v>
      </c>
      <c r="J283" s="217" t="s">
        <v>297</v>
      </c>
      <c r="K283" s="218" t="s">
        <v>115</v>
      </c>
      <c r="L283" s="220" t="s">
        <v>298</v>
      </c>
    </row>
    <row r="284" spans="2:12">
      <c r="B284" s="141"/>
      <c r="C284" s="142"/>
      <c r="D284" s="142"/>
      <c r="E284" s="142"/>
      <c r="F284" s="155"/>
      <c r="G284" s="143"/>
      <c r="H284" s="144"/>
      <c r="I284" s="145"/>
      <c r="J284" s="144"/>
      <c r="K284" s="142"/>
    </row>
    <row r="285" spans="2:12">
      <c r="B285" s="141"/>
      <c r="C285" s="142"/>
      <c r="D285" s="142"/>
      <c r="E285" s="142"/>
      <c r="F285" s="155"/>
      <c r="G285" s="143"/>
      <c r="H285" s="144"/>
      <c r="I285" s="145"/>
      <c r="J285" s="144"/>
      <c r="K285" s="142"/>
    </row>
    <row r="286" spans="2:12">
      <c r="B286" s="141"/>
      <c r="C286" s="142"/>
      <c r="D286" s="142"/>
      <c r="E286" s="142"/>
      <c r="F286" s="155"/>
      <c r="G286" s="143"/>
      <c r="H286" s="144"/>
      <c r="I286" s="145"/>
      <c r="J286" s="144"/>
      <c r="K286" s="142"/>
    </row>
    <row r="287" spans="2:12">
      <c r="B287" s="141"/>
      <c r="C287" s="142"/>
      <c r="D287" s="142"/>
      <c r="E287" s="142"/>
      <c r="F287" s="155"/>
      <c r="G287" s="143"/>
      <c r="H287" s="144"/>
      <c r="I287" s="145"/>
      <c r="J287" s="144"/>
      <c r="K287" s="142"/>
    </row>
    <row r="288" spans="2:12">
      <c r="B288" s="141"/>
      <c r="C288" s="142"/>
      <c r="D288" s="142"/>
      <c r="E288" s="142"/>
      <c r="F288" s="155"/>
      <c r="G288" s="143"/>
      <c r="H288" s="144"/>
      <c r="I288" s="145"/>
      <c r="J288" s="144"/>
      <c r="K288" s="142"/>
    </row>
    <row r="289" spans="2:11">
      <c r="B289" s="141"/>
      <c r="C289" s="142"/>
      <c r="D289" s="142"/>
      <c r="E289" s="142"/>
      <c r="F289" s="155"/>
      <c r="G289" s="143"/>
      <c r="H289" s="144"/>
      <c r="I289" s="145"/>
      <c r="J289" s="144"/>
      <c r="K289" s="142"/>
    </row>
    <row r="290" spans="2:11">
      <c r="B290" s="141"/>
      <c r="C290" s="142"/>
      <c r="D290" s="142"/>
      <c r="E290" s="142"/>
      <c r="F290" s="155"/>
      <c r="G290" s="143"/>
      <c r="H290" s="144"/>
      <c r="I290" s="145"/>
      <c r="J290" s="144"/>
      <c r="K290" s="142"/>
    </row>
    <row r="291" spans="2:11">
      <c r="B291" s="141"/>
      <c r="C291" s="142"/>
      <c r="D291" s="142"/>
      <c r="E291" s="142"/>
      <c r="F291" s="155"/>
      <c r="G291" s="143"/>
      <c r="H291" s="144"/>
      <c r="I291" s="145"/>
      <c r="J291" s="144"/>
      <c r="K291" s="142"/>
    </row>
    <row r="292" spans="2:11">
      <c r="B292" s="141"/>
      <c r="C292" s="142"/>
      <c r="D292" s="142"/>
      <c r="E292" s="142"/>
      <c r="F292" s="155"/>
      <c r="G292" s="143"/>
      <c r="H292" s="144"/>
      <c r="I292" s="145"/>
      <c r="J292" s="144"/>
      <c r="K292" s="142"/>
    </row>
    <row r="293" spans="2:11">
      <c r="B293" s="141"/>
      <c r="C293" s="142"/>
      <c r="D293" s="142"/>
      <c r="E293" s="142"/>
      <c r="F293" s="155"/>
      <c r="G293" s="143"/>
      <c r="H293" s="144"/>
      <c r="I293" s="145"/>
      <c r="J293" s="144"/>
      <c r="K293" s="142"/>
    </row>
    <row r="294" spans="2:11">
      <c r="B294" s="141"/>
      <c r="C294" s="142"/>
      <c r="D294" s="142"/>
      <c r="E294" s="142"/>
      <c r="F294" s="155"/>
      <c r="G294" s="143"/>
      <c r="H294" s="144"/>
      <c r="I294" s="145"/>
      <c r="J294" s="144"/>
      <c r="K294" s="142"/>
    </row>
    <row r="295" spans="2:11">
      <c r="B295" s="141"/>
      <c r="C295" s="142"/>
      <c r="D295" s="142"/>
      <c r="E295" s="142"/>
      <c r="F295" s="155"/>
      <c r="G295" s="143"/>
      <c r="H295" s="144"/>
      <c r="I295" s="145"/>
      <c r="J295" s="144"/>
      <c r="K295" s="142"/>
    </row>
    <row r="296" spans="2:11">
      <c r="B296" s="141"/>
      <c r="C296" s="142"/>
      <c r="D296" s="142"/>
      <c r="E296" s="142"/>
      <c r="F296" s="155"/>
      <c r="G296" s="143"/>
      <c r="H296" s="144"/>
      <c r="I296" s="145"/>
      <c r="J296" s="144"/>
      <c r="K296" s="142"/>
    </row>
    <row r="297" spans="2:11">
      <c r="B297" s="141"/>
      <c r="C297" s="142"/>
      <c r="D297" s="142"/>
      <c r="E297" s="142"/>
      <c r="F297" s="155"/>
      <c r="G297" s="143"/>
      <c r="H297" s="144"/>
      <c r="I297" s="145"/>
      <c r="J297" s="144"/>
      <c r="K297" s="142"/>
    </row>
    <row r="298" spans="2:11">
      <c r="B298" s="141"/>
      <c r="C298" s="142"/>
      <c r="D298" s="142"/>
      <c r="E298" s="142"/>
      <c r="F298" s="155"/>
      <c r="G298" s="143"/>
      <c r="H298" s="144"/>
      <c r="I298" s="145"/>
      <c r="J298" s="144"/>
      <c r="K298" s="142"/>
    </row>
    <row r="299" spans="2:11">
      <c r="B299" s="141"/>
      <c r="C299" s="142"/>
      <c r="D299" s="142"/>
      <c r="E299" s="142"/>
      <c r="F299" s="155"/>
      <c r="G299" s="143"/>
      <c r="H299" s="144"/>
      <c r="I299" s="145"/>
      <c r="J299" s="144"/>
      <c r="K299" s="142"/>
    </row>
    <row r="300" spans="2:11">
      <c r="B300" s="141"/>
      <c r="C300" s="142"/>
      <c r="D300" s="142"/>
      <c r="E300" s="142"/>
      <c r="F300" s="155"/>
      <c r="G300" s="143"/>
      <c r="H300" s="144"/>
      <c r="I300" s="145"/>
      <c r="J300" s="144"/>
      <c r="K300" s="142"/>
    </row>
    <row r="301" spans="2:11">
      <c r="B301" s="141"/>
      <c r="C301" s="142"/>
      <c r="D301" s="142"/>
      <c r="E301" s="142"/>
      <c r="F301" s="155"/>
      <c r="G301" s="143"/>
      <c r="H301" s="144"/>
      <c r="I301" s="145"/>
      <c r="J301" s="144"/>
      <c r="K301" s="142"/>
    </row>
    <row r="302" spans="2:11">
      <c r="B302" s="141"/>
      <c r="C302" s="142"/>
      <c r="D302" s="142"/>
      <c r="E302" s="142"/>
      <c r="F302" s="155"/>
      <c r="G302" s="143"/>
      <c r="H302" s="144"/>
      <c r="I302" s="145"/>
      <c r="J302" s="144"/>
      <c r="K302" s="142"/>
    </row>
    <row r="303" spans="2:11">
      <c r="B303" s="141"/>
      <c r="C303" s="142"/>
      <c r="D303" s="142"/>
      <c r="E303" s="142"/>
      <c r="F303" s="155"/>
      <c r="G303" s="143"/>
      <c r="H303" s="144"/>
      <c r="I303" s="145"/>
      <c r="J303" s="144"/>
      <c r="K303" s="142"/>
    </row>
    <row r="304" spans="2:11">
      <c r="B304" s="141"/>
      <c r="C304" s="142"/>
      <c r="D304" s="142"/>
      <c r="E304" s="142"/>
      <c r="F304" s="155"/>
      <c r="G304" s="143"/>
      <c r="H304" s="144"/>
      <c r="I304" s="145"/>
      <c r="J304" s="144"/>
      <c r="K304" s="142"/>
    </row>
    <row r="305" spans="2:11">
      <c r="B305" s="141"/>
      <c r="C305" s="142"/>
      <c r="D305" s="142"/>
      <c r="E305" s="142"/>
      <c r="F305" s="155"/>
      <c r="G305" s="143"/>
      <c r="H305" s="144"/>
      <c r="I305" s="145"/>
      <c r="J305" s="144"/>
      <c r="K305" s="142"/>
    </row>
    <row r="306" spans="2:11">
      <c r="B306" s="141"/>
      <c r="C306" s="142"/>
      <c r="D306" s="142"/>
      <c r="E306" s="142"/>
      <c r="F306" s="155"/>
      <c r="G306" s="143"/>
      <c r="H306" s="144"/>
      <c r="I306" s="145"/>
      <c r="J306" s="144"/>
      <c r="K306" s="142"/>
    </row>
    <row r="307" spans="2:11">
      <c r="B307" s="141"/>
      <c r="C307" s="142"/>
      <c r="D307" s="142"/>
      <c r="E307" s="142"/>
      <c r="F307" s="155"/>
      <c r="G307" s="143"/>
      <c r="H307" s="144"/>
      <c r="I307" s="145"/>
      <c r="J307" s="144"/>
      <c r="K307" s="142"/>
    </row>
    <row r="308" spans="2:11">
      <c r="B308" s="141"/>
      <c r="C308" s="142"/>
      <c r="D308" s="142"/>
      <c r="E308" s="142"/>
      <c r="F308" s="155"/>
      <c r="G308" s="143"/>
      <c r="H308" s="144"/>
      <c r="I308" s="145"/>
      <c r="J308" s="144"/>
      <c r="K308" s="142"/>
    </row>
    <row r="309" spans="2:11">
      <c r="B309" s="141"/>
      <c r="C309" s="142"/>
      <c r="D309" s="142"/>
      <c r="E309" s="142"/>
      <c r="F309" s="155"/>
      <c r="G309" s="143"/>
      <c r="H309" s="144"/>
      <c r="I309" s="145"/>
      <c r="J309" s="144"/>
      <c r="K309" s="142"/>
    </row>
    <row r="310" spans="2:11">
      <c r="B310" s="141"/>
      <c r="C310" s="142"/>
      <c r="D310" s="142"/>
      <c r="E310" s="142"/>
      <c r="F310" s="155"/>
      <c r="G310" s="143"/>
      <c r="H310" s="144"/>
      <c r="I310" s="145"/>
      <c r="J310" s="144"/>
      <c r="K310" s="142"/>
    </row>
    <row r="311" spans="2:11">
      <c r="B311" s="141"/>
      <c r="C311" s="142"/>
      <c r="D311" s="142"/>
      <c r="E311" s="142"/>
      <c r="F311" s="155"/>
      <c r="G311" s="143"/>
      <c r="H311" s="144"/>
      <c r="I311" s="145"/>
      <c r="J311" s="144"/>
      <c r="K311" s="142"/>
    </row>
    <row r="312" spans="2:11">
      <c r="B312" s="141"/>
      <c r="C312" s="142"/>
      <c r="D312" s="142"/>
      <c r="E312" s="142"/>
      <c r="F312" s="155"/>
      <c r="G312" s="143"/>
      <c r="H312" s="144"/>
      <c r="I312" s="145"/>
      <c r="J312" s="144"/>
      <c r="K312" s="142"/>
    </row>
    <row r="313" spans="2:11">
      <c r="B313" s="141"/>
      <c r="C313" s="142"/>
      <c r="D313" s="142"/>
      <c r="E313" s="142"/>
      <c r="F313" s="155"/>
      <c r="G313" s="143"/>
      <c r="H313" s="144"/>
      <c r="I313" s="145"/>
      <c r="J313" s="144"/>
      <c r="K313" s="142"/>
    </row>
    <row r="314" spans="2:11">
      <c r="B314" s="141"/>
      <c r="C314" s="142"/>
      <c r="D314" s="142"/>
      <c r="E314" s="142"/>
      <c r="F314" s="155"/>
      <c r="G314" s="143"/>
      <c r="H314" s="144"/>
      <c r="I314" s="145"/>
      <c r="J314" s="144"/>
      <c r="K314" s="142"/>
    </row>
    <row r="315" spans="2:11">
      <c r="B315" s="141"/>
      <c r="C315" s="142"/>
      <c r="D315" s="142"/>
      <c r="E315" s="142"/>
      <c r="F315" s="155"/>
      <c r="G315" s="143"/>
      <c r="H315" s="144"/>
      <c r="I315" s="145"/>
      <c r="J315" s="144"/>
      <c r="K315" s="142"/>
    </row>
    <row r="316" spans="2:11">
      <c r="B316" s="141"/>
      <c r="C316" s="142"/>
      <c r="D316" s="142"/>
      <c r="E316" s="142"/>
      <c r="F316" s="155"/>
      <c r="G316" s="143"/>
      <c r="H316" s="144"/>
      <c r="I316" s="145"/>
      <c r="J316" s="144"/>
      <c r="K316" s="142"/>
    </row>
    <row r="317" spans="2:11">
      <c r="B317" s="141"/>
      <c r="C317" s="142"/>
      <c r="D317" s="142"/>
      <c r="E317" s="142"/>
      <c r="F317" s="155"/>
      <c r="G317" s="143"/>
      <c r="H317" s="144"/>
      <c r="I317" s="145"/>
      <c r="J317" s="144"/>
      <c r="K317" s="142"/>
    </row>
    <row r="318" spans="2:11">
      <c r="B318" s="141"/>
      <c r="C318" s="142"/>
      <c r="D318" s="142"/>
      <c r="E318" s="142"/>
      <c r="F318" s="155"/>
      <c r="G318" s="143"/>
      <c r="H318" s="144"/>
      <c r="I318" s="145"/>
      <c r="J318" s="144"/>
      <c r="K318" s="142"/>
    </row>
    <row r="319" spans="2:11">
      <c r="B319" s="141"/>
      <c r="C319" s="142"/>
      <c r="D319" s="142"/>
      <c r="E319" s="142"/>
      <c r="F319" s="155"/>
      <c r="G319" s="143"/>
      <c r="H319" s="144"/>
      <c r="I319" s="145"/>
      <c r="J319" s="144"/>
      <c r="K319" s="142"/>
    </row>
    <row r="320" spans="2:11">
      <c r="B320" s="141"/>
      <c r="C320" s="142"/>
      <c r="D320" s="142"/>
      <c r="E320" s="142"/>
      <c r="F320" s="155"/>
      <c r="G320" s="143"/>
      <c r="H320" s="144"/>
      <c r="I320" s="145"/>
      <c r="J320" s="144"/>
      <c r="K320" s="142"/>
    </row>
    <row r="321" spans="2:11">
      <c r="B321" s="141"/>
      <c r="C321" s="142"/>
      <c r="D321" s="142"/>
      <c r="E321" s="142"/>
      <c r="F321" s="155"/>
      <c r="G321" s="143"/>
      <c r="H321" s="144"/>
      <c r="I321" s="145"/>
      <c r="J321" s="144"/>
      <c r="K321" s="142"/>
    </row>
    <row r="322" spans="2:11">
      <c r="B322" s="141"/>
      <c r="C322" s="142"/>
      <c r="D322" s="142"/>
      <c r="E322" s="142"/>
      <c r="F322" s="155"/>
      <c r="G322" s="143"/>
      <c r="H322" s="144"/>
      <c r="I322" s="145"/>
      <c r="J322" s="144"/>
      <c r="K322" s="142"/>
    </row>
    <row r="323" spans="2:11">
      <c r="B323" s="141"/>
      <c r="C323" s="142"/>
      <c r="D323" s="142"/>
      <c r="E323" s="142"/>
      <c r="F323" s="155"/>
      <c r="G323" s="143"/>
      <c r="H323" s="144"/>
      <c r="I323" s="145"/>
      <c r="J323" s="144"/>
      <c r="K323" s="142"/>
    </row>
    <row r="324" spans="2:11">
      <c r="B324" s="141"/>
      <c r="C324" s="142"/>
      <c r="D324" s="142"/>
      <c r="E324" s="142"/>
      <c r="F324" s="155"/>
      <c r="G324" s="143"/>
      <c r="H324" s="144"/>
      <c r="I324" s="145"/>
      <c r="J324" s="144"/>
      <c r="K324" s="142"/>
    </row>
    <row r="325" spans="2:11">
      <c r="B325" s="141"/>
      <c r="C325" s="142"/>
      <c r="D325" s="142"/>
      <c r="E325" s="142"/>
      <c r="F325" s="155"/>
      <c r="G325" s="143"/>
      <c r="H325" s="144"/>
      <c r="I325" s="145"/>
      <c r="J325" s="144"/>
      <c r="K325" s="142"/>
    </row>
    <row r="326" spans="2:11">
      <c r="B326" s="141"/>
      <c r="C326" s="142"/>
      <c r="D326" s="142"/>
      <c r="E326" s="142"/>
      <c r="F326" s="155"/>
      <c r="G326" s="143"/>
      <c r="H326" s="144"/>
      <c r="I326" s="145"/>
      <c r="J326" s="144"/>
      <c r="K326" s="142"/>
    </row>
    <row r="327" spans="2:11">
      <c r="B327" s="141"/>
      <c r="C327" s="142"/>
      <c r="D327" s="142"/>
      <c r="E327" s="142"/>
      <c r="F327" s="155"/>
      <c r="G327" s="143"/>
      <c r="H327" s="144"/>
      <c r="I327" s="145"/>
      <c r="J327" s="144"/>
      <c r="K327" s="142"/>
    </row>
    <row r="328" spans="2:11">
      <c r="B328" s="141"/>
      <c r="C328" s="142"/>
      <c r="D328" s="142"/>
      <c r="E328" s="142"/>
      <c r="F328" s="155"/>
      <c r="G328" s="143"/>
      <c r="H328" s="144"/>
      <c r="I328" s="145"/>
      <c r="J328" s="144"/>
      <c r="K328" s="142"/>
    </row>
    <row r="329" spans="2:11">
      <c r="B329" s="141"/>
      <c r="C329" s="142"/>
      <c r="D329" s="142"/>
      <c r="E329" s="142"/>
      <c r="F329" s="155"/>
      <c r="G329" s="143"/>
      <c r="H329" s="144"/>
      <c r="I329" s="145"/>
      <c r="J329" s="144"/>
      <c r="K329" s="142"/>
    </row>
    <row r="330" spans="2:11">
      <c r="B330" s="141"/>
      <c r="C330" s="142"/>
      <c r="D330" s="142"/>
      <c r="E330" s="142"/>
      <c r="F330" s="155"/>
      <c r="G330" s="143"/>
      <c r="H330" s="144"/>
      <c r="I330" s="145"/>
      <c r="J330" s="144"/>
      <c r="K330" s="142"/>
    </row>
    <row r="331" spans="2:11">
      <c r="B331" s="141"/>
      <c r="C331" s="142"/>
      <c r="D331" s="142"/>
      <c r="E331" s="142"/>
      <c r="F331" s="155"/>
      <c r="G331" s="143"/>
      <c r="H331" s="144"/>
      <c r="I331" s="145"/>
      <c r="J331" s="144"/>
      <c r="K331" s="142"/>
    </row>
    <row r="332" spans="2:11">
      <c r="B332" s="141"/>
      <c r="C332" s="142"/>
      <c r="D332" s="142"/>
      <c r="E332" s="142"/>
      <c r="F332" s="155"/>
      <c r="G332" s="143"/>
      <c r="H332" s="144"/>
      <c r="I332" s="145"/>
      <c r="J332" s="144"/>
      <c r="K332" s="142"/>
    </row>
    <row r="333" spans="2:11">
      <c r="B333" s="141"/>
      <c r="C333" s="142"/>
      <c r="D333" s="142"/>
      <c r="E333" s="142"/>
      <c r="F333" s="155"/>
      <c r="G333" s="143"/>
      <c r="H333" s="144"/>
      <c r="I333" s="145"/>
      <c r="J333" s="144"/>
      <c r="K333" s="142"/>
    </row>
    <row r="334" spans="2:11">
      <c r="B334" s="141"/>
      <c r="C334" s="142"/>
      <c r="D334" s="142"/>
      <c r="E334" s="142"/>
      <c r="F334" s="155"/>
      <c r="G334" s="143"/>
      <c r="H334" s="144"/>
      <c r="I334" s="145"/>
      <c r="J334" s="144"/>
      <c r="K334" s="142"/>
    </row>
    <row r="335" spans="2:11">
      <c r="B335" s="141"/>
      <c r="C335" s="142"/>
      <c r="D335" s="142"/>
      <c r="E335" s="142"/>
      <c r="F335" s="155"/>
      <c r="G335" s="143"/>
      <c r="H335" s="144"/>
      <c r="I335" s="145"/>
      <c r="J335" s="144"/>
      <c r="K335" s="142"/>
    </row>
    <row r="336" spans="2:11">
      <c r="B336" s="141"/>
      <c r="C336" s="142"/>
      <c r="D336" s="142"/>
      <c r="E336" s="142"/>
      <c r="F336" s="155"/>
      <c r="G336" s="143"/>
      <c r="H336" s="144"/>
      <c r="I336" s="145"/>
      <c r="J336" s="144"/>
      <c r="K336" s="142"/>
    </row>
    <row r="337" spans="2:11">
      <c r="B337" s="141"/>
      <c r="C337" s="142"/>
      <c r="D337" s="142"/>
      <c r="E337" s="142"/>
      <c r="F337" s="155"/>
      <c r="G337" s="143"/>
      <c r="H337" s="144"/>
      <c r="I337" s="145"/>
      <c r="J337" s="144"/>
      <c r="K337" s="142"/>
    </row>
    <row r="338" spans="2:11">
      <c r="B338" s="141"/>
      <c r="C338" s="142"/>
      <c r="D338" s="142"/>
      <c r="E338" s="142"/>
      <c r="F338" s="155"/>
      <c r="G338" s="143"/>
      <c r="H338" s="144"/>
      <c r="I338" s="145"/>
      <c r="J338" s="144"/>
      <c r="K338" s="142"/>
    </row>
    <row r="339" spans="2:11">
      <c r="B339" s="141"/>
      <c r="C339" s="142"/>
      <c r="D339" s="142"/>
      <c r="E339" s="142"/>
      <c r="F339" s="155"/>
      <c r="G339" s="143"/>
      <c r="H339" s="144"/>
      <c r="I339" s="145"/>
      <c r="J339" s="144"/>
      <c r="K339" s="142"/>
    </row>
    <row r="340" spans="2:11">
      <c r="B340" s="141"/>
      <c r="C340" s="142"/>
      <c r="D340" s="142"/>
      <c r="E340" s="142"/>
      <c r="F340" s="155"/>
      <c r="G340" s="143"/>
      <c r="H340" s="144"/>
      <c r="I340" s="145"/>
      <c r="J340" s="144"/>
      <c r="K340" s="142"/>
    </row>
    <row r="341" spans="2:11">
      <c r="B341" s="141"/>
      <c r="C341" s="142"/>
      <c r="D341" s="142"/>
      <c r="E341" s="142"/>
      <c r="F341" s="155"/>
      <c r="G341" s="143"/>
      <c r="H341" s="144"/>
      <c r="I341" s="145"/>
      <c r="J341" s="144"/>
      <c r="K341" s="142"/>
    </row>
    <row r="342" spans="2:11">
      <c r="B342" s="141"/>
      <c r="C342" s="142"/>
      <c r="D342" s="142"/>
      <c r="E342" s="142"/>
      <c r="F342" s="155"/>
      <c r="G342" s="143"/>
      <c r="H342" s="144"/>
      <c r="I342" s="145"/>
      <c r="J342" s="144"/>
      <c r="K342" s="142"/>
    </row>
    <row r="343" spans="2:11">
      <c r="B343" s="141"/>
      <c r="C343" s="142"/>
      <c r="D343" s="142"/>
      <c r="E343" s="142"/>
      <c r="F343" s="155"/>
      <c r="G343" s="143"/>
      <c r="H343" s="144"/>
      <c r="I343" s="145"/>
      <c r="J343" s="144"/>
      <c r="K343" s="142"/>
    </row>
    <row r="344" spans="2:11">
      <c r="B344" s="141"/>
      <c r="C344" s="142"/>
      <c r="D344" s="142"/>
      <c r="E344" s="142"/>
      <c r="F344" s="155"/>
      <c r="G344" s="143"/>
      <c r="H344" s="144"/>
      <c r="I344" s="145"/>
      <c r="J344" s="144"/>
      <c r="K344" s="142"/>
    </row>
    <row r="345" spans="2:11">
      <c r="B345" s="141"/>
      <c r="C345" s="142"/>
      <c r="D345" s="142"/>
      <c r="E345" s="142"/>
      <c r="F345" s="155"/>
      <c r="G345" s="143"/>
      <c r="H345" s="144"/>
      <c r="I345" s="145"/>
      <c r="J345" s="144"/>
      <c r="K345" s="142"/>
    </row>
    <row r="346" spans="2:11">
      <c r="B346" s="141"/>
      <c r="C346" s="142"/>
      <c r="D346" s="142"/>
      <c r="E346" s="142"/>
      <c r="F346" s="155"/>
      <c r="G346" s="143"/>
      <c r="H346" s="144"/>
      <c r="I346" s="145"/>
      <c r="J346" s="144"/>
      <c r="K346" s="142"/>
    </row>
    <row r="347" spans="2:11">
      <c r="B347" s="141"/>
      <c r="C347" s="142"/>
      <c r="D347" s="142"/>
      <c r="E347" s="142"/>
      <c r="F347" s="155"/>
      <c r="G347" s="143"/>
      <c r="H347" s="144"/>
      <c r="I347" s="145"/>
      <c r="J347" s="144"/>
      <c r="K347" s="142"/>
    </row>
    <row r="348" spans="2:11">
      <c r="B348" s="141"/>
      <c r="C348" s="142"/>
      <c r="D348" s="142"/>
      <c r="E348" s="142"/>
      <c r="F348" s="155"/>
      <c r="G348" s="143"/>
      <c r="H348" s="144"/>
      <c r="I348" s="145"/>
      <c r="J348" s="144"/>
      <c r="K348" s="142"/>
    </row>
    <row r="349" spans="2:11">
      <c r="B349" s="141"/>
      <c r="C349" s="142"/>
      <c r="D349" s="142"/>
      <c r="E349" s="142"/>
      <c r="F349" s="155"/>
      <c r="G349" s="143"/>
      <c r="H349" s="144"/>
      <c r="I349" s="145"/>
      <c r="J349" s="144"/>
      <c r="K349" s="142"/>
    </row>
    <row r="350" spans="2:11">
      <c r="B350" s="141"/>
      <c r="C350" s="142"/>
      <c r="D350" s="142"/>
      <c r="E350" s="142"/>
      <c r="F350" s="155"/>
      <c r="G350" s="143"/>
      <c r="H350" s="144"/>
      <c r="I350" s="145"/>
      <c r="J350" s="144"/>
      <c r="K350" s="142"/>
    </row>
    <row r="351" spans="2:11">
      <c r="B351" s="141"/>
      <c r="C351" s="142"/>
      <c r="D351" s="142"/>
      <c r="E351" s="142"/>
      <c r="F351" s="155"/>
      <c r="G351" s="143"/>
      <c r="H351" s="144"/>
      <c r="I351" s="145"/>
      <c r="J351" s="144"/>
      <c r="K351" s="142"/>
    </row>
    <row r="352" spans="2:11">
      <c r="B352" s="141"/>
      <c r="C352" s="142"/>
      <c r="D352" s="142"/>
      <c r="E352" s="142"/>
      <c r="F352" s="155"/>
      <c r="G352" s="143"/>
      <c r="H352" s="144"/>
      <c r="I352" s="145"/>
      <c r="J352" s="144"/>
      <c r="K352" s="142"/>
    </row>
    <row r="353" spans="2:15">
      <c r="B353" s="141"/>
      <c r="C353" s="142"/>
      <c r="D353" s="142"/>
      <c r="E353" s="142"/>
      <c r="F353" s="155"/>
      <c r="G353" s="143"/>
      <c r="H353" s="144"/>
      <c r="I353" s="145"/>
      <c r="J353" s="144"/>
      <c r="K353" s="142"/>
    </row>
    <row r="354" spans="2:15">
      <c r="B354" s="141"/>
      <c r="C354" s="142"/>
      <c r="D354" s="142"/>
      <c r="E354" s="142"/>
      <c r="F354" s="155"/>
      <c r="G354" s="143"/>
      <c r="H354" s="144"/>
      <c r="I354" s="145"/>
      <c r="J354" s="144"/>
      <c r="K354" s="142"/>
    </row>
    <row r="355" spans="2:15">
      <c r="B355" s="141"/>
      <c r="C355" s="142"/>
      <c r="D355" s="142"/>
      <c r="E355" s="142"/>
      <c r="F355" s="155"/>
      <c r="G355" s="143"/>
      <c r="H355" s="144"/>
      <c r="I355" s="145"/>
      <c r="J355" s="144"/>
      <c r="K355" s="142"/>
    </row>
    <row r="356" spans="2:15">
      <c r="B356" s="141"/>
      <c r="C356" s="142"/>
      <c r="D356" s="142"/>
      <c r="E356" s="142"/>
      <c r="F356" s="155"/>
      <c r="G356" s="143"/>
      <c r="H356" s="144"/>
      <c r="I356" s="145"/>
      <c r="J356" s="144"/>
      <c r="K356" s="142"/>
    </row>
    <row r="357" spans="2:15">
      <c r="B357" s="141"/>
      <c r="C357" s="142"/>
      <c r="D357" s="142"/>
      <c r="E357" s="142"/>
      <c r="F357" s="155"/>
      <c r="G357" s="143"/>
      <c r="H357" s="144"/>
      <c r="I357" s="145"/>
      <c r="J357" s="144"/>
      <c r="K357" s="142"/>
    </row>
    <row r="358" spans="2:15">
      <c r="B358" s="141"/>
      <c r="C358" s="142"/>
      <c r="D358" s="142"/>
      <c r="E358" s="142"/>
      <c r="F358" s="155"/>
      <c r="G358" s="143"/>
      <c r="H358" s="144"/>
      <c r="I358" s="145"/>
      <c r="J358" s="144"/>
      <c r="K358" s="142"/>
    </row>
    <row r="359" spans="2:15">
      <c r="B359" s="141"/>
      <c r="C359" s="142"/>
      <c r="D359" s="142"/>
      <c r="E359" s="142"/>
      <c r="F359" s="155"/>
      <c r="G359" s="143"/>
      <c r="H359" s="144"/>
      <c r="I359" s="145"/>
      <c r="J359" s="144"/>
      <c r="K359" s="142"/>
    </row>
    <row r="360" spans="2:15">
      <c r="B360" s="141"/>
      <c r="C360" s="142"/>
      <c r="D360" s="142"/>
      <c r="E360" s="142"/>
      <c r="F360" s="155"/>
      <c r="G360" s="143"/>
      <c r="H360" s="144"/>
      <c r="I360" s="145"/>
      <c r="J360" s="144"/>
      <c r="K360" s="142"/>
    </row>
    <row r="361" spans="2:15">
      <c r="B361" s="141"/>
      <c r="C361" s="142"/>
      <c r="D361" s="142"/>
      <c r="E361" s="142"/>
      <c r="F361" s="155"/>
      <c r="G361" s="143"/>
      <c r="H361" s="144"/>
      <c r="I361" s="145"/>
      <c r="J361" s="144"/>
      <c r="K361" s="142"/>
    </row>
    <row r="364" spans="2:15">
      <c r="C364" s="392" t="s">
        <v>119</v>
      </c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</row>
    <row r="365" spans="2:15">
      <c r="C365" s="84" t="s">
        <v>116</v>
      </c>
      <c r="D365" s="146"/>
      <c r="E365" s="146"/>
      <c r="F365" s="84"/>
      <c r="G365" s="84"/>
      <c r="H365" s="84"/>
      <c r="I365" s="84"/>
      <c r="J365" s="84"/>
      <c r="K365" s="84"/>
      <c r="L365" s="84"/>
      <c r="M365" s="84"/>
      <c r="N365" s="84"/>
      <c r="O365" s="84"/>
    </row>
    <row r="366" spans="2:15">
      <c r="C366" s="102" t="s">
        <v>117</v>
      </c>
    </row>
    <row r="367" spans="2:15">
      <c r="C367" s="102" t="s">
        <v>118</v>
      </c>
    </row>
  </sheetData>
  <mergeCells count="247">
    <mergeCell ref="B255:B262"/>
    <mergeCell ref="C255:C262"/>
    <mergeCell ref="D255:D262"/>
    <mergeCell ref="E255:E262"/>
    <mergeCell ref="B263:B270"/>
    <mergeCell ref="C263:C270"/>
    <mergeCell ref="D263:D270"/>
    <mergeCell ref="E263:E270"/>
    <mergeCell ref="C2:C13"/>
    <mergeCell ref="D2:D13"/>
    <mergeCell ref="E2:E13"/>
    <mergeCell ref="C14:C25"/>
    <mergeCell ref="D14:D25"/>
    <mergeCell ref="E14:E25"/>
    <mergeCell ref="C26:C31"/>
    <mergeCell ref="D26:D31"/>
    <mergeCell ref="E26:E31"/>
    <mergeCell ref="B2:B31"/>
    <mergeCell ref="B207:B229"/>
    <mergeCell ref="C207:C214"/>
    <mergeCell ref="D207:D214"/>
    <mergeCell ref="E207:E214"/>
    <mergeCell ref="B184:B206"/>
    <mergeCell ref="C184:C191"/>
    <mergeCell ref="J253:J254"/>
    <mergeCell ref="K253:K254"/>
    <mergeCell ref="B253:B254"/>
    <mergeCell ref="F253:F254"/>
    <mergeCell ref="G253:G254"/>
    <mergeCell ref="H253:H254"/>
    <mergeCell ref="I253:I254"/>
    <mergeCell ref="G244:G246"/>
    <mergeCell ref="H244:H246"/>
    <mergeCell ref="I244:I246"/>
    <mergeCell ref="J244:J246"/>
    <mergeCell ref="K244:K246"/>
    <mergeCell ref="G238:G240"/>
    <mergeCell ref="H238:H240"/>
    <mergeCell ref="I238:I240"/>
    <mergeCell ref="J238:J240"/>
    <mergeCell ref="K238:K240"/>
    <mergeCell ref="B230:B252"/>
    <mergeCell ref="C230:C237"/>
    <mergeCell ref="D230:D237"/>
    <mergeCell ref="E230:E237"/>
    <mergeCell ref="F238:F240"/>
    <mergeCell ref="C241:C243"/>
    <mergeCell ref="D241:D243"/>
    <mergeCell ref="E241:E243"/>
    <mergeCell ref="F244:F246"/>
    <mergeCell ref="C247:C249"/>
    <mergeCell ref="D247:D249"/>
    <mergeCell ref="E247:E249"/>
    <mergeCell ref="H221:H223"/>
    <mergeCell ref="I221:I223"/>
    <mergeCell ref="J221:J223"/>
    <mergeCell ref="K221:K223"/>
    <mergeCell ref="G215:G217"/>
    <mergeCell ref="H215:H217"/>
    <mergeCell ref="I215:I217"/>
    <mergeCell ref="J215:J217"/>
    <mergeCell ref="K215:K217"/>
    <mergeCell ref="F221:F223"/>
    <mergeCell ref="C224:C226"/>
    <mergeCell ref="D224:D226"/>
    <mergeCell ref="E224:E226"/>
    <mergeCell ref="G198:G200"/>
    <mergeCell ref="G221:G223"/>
    <mergeCell ref="C201:C203"/>
    <mergeCell ref="D201:D203"/>
    <mergeCell ref="E201:E203"/>
    <mergeCell ref="J198:J200"/>
    <mergeCell ref="K198:K200"/>
    <mergeCell ref="G192:G194"/>
    <mergeCell ref="H192:H194"/>
    <mergeCell ref="I192:I194"/>
    <mergeCell ref="J192:J194"/>
    <mergeCell ref="K192:K194"/>
    <mergeCell ref="F215:F217"/>
    <mergeCell ref="C218:C220"/>
    <mergeCell ref="D218:D220"/>
    <mergeCell ref="E218:E220"/>
    <mergeCell ref="D184:D191"/>
    <mergeCell ref="E184:E191"/>
    <mergeCell ref="F192:F194"/>
    <mergeCell ref="C195:C197"/>
    <mergeCell ref="D195:D197"/>
    <mergeCell ref="E195:E197"/>
    <mergeCell ref="F198:F200"/>
    <mergeCell ref="H198:H200"/>
    <mergeCell ref="I198:I200"/>
    <mergeCell ref="G175:G177"/>
    <mergeCell ref="H175:H177"/>
    <mergeCell ref="I175:I177"/>
    <mergeCell ref="J175:J177"/>
    <mergeCell ref="K175:K177"/>
    <mergeCell ref="G169:G171"/>
    <mergeCell ref="H169:H171"/>
    <mergeCell ref="I169:I171"/>
    <mergeCell ref="J169:J171"/>
    <mergeCell ref="K169:K171"/>
    <mergeCell ref="B161:B183"/>
    <mergeCell ref="C161:C168"/>
    <mergeCell ref="D161:D168"/>
    <mergeCell ref="E161:E168"/>
    <mergeCell ref="F169:F171"/>
    <mergeCell ref="C172:C174"/>
    <mergeCell ref="D172:D174"/>
    <mergeCell ref="E172:E174"/>
    <mergeCell ref="F175:F177"/>
    <mergeCell ref="C178:C180"/>
    <mergeCell ref="D178:D180"/>
    <mergeCell ref="E178:E180"/>
    <mergeCell ref="G152:G154"/>
    <mergeCell ref="H152:H154"/>
    <mergeCell ref="I152:I154"/>
    <mergeCell ref="J152:J154"/>
    <mergeCell ref="K152:K154"/>
    <mergeCell ref="G146:G148"/>
    <mergeCell ref="H146:H148"/>
    <mergeCell ref="I146:I148"/>
    <mergeCell ref="J146:J148"/>
    <mergeCell ref="K146:K148"/>
    <mergeCell ref="B138:B160"/>
    <mergeCell ref="C138:C145"/>
    <mergeCell ref="D138:D145"/>
    <mergeCell ref="E138:E145"/>
    <mergeCell ref="F146:F148"/>
    <mergeCell ref="C149:C151"/>
    <mergeCell ref="D149:D151"/>
    <mergeCell ref="E149:E151"/>
    <mergeCell ref="F152:F154"/>
    <mergeCell ref="C155:C157"/>
    <mergeCell ref="D155:D157"/>
    <mergeCell ref="E155:E157"/>
    <mergeCell ref="H129:H131"/>
    <mergeCell ref="I129:I131"/>
    <mergeCell ref="J129:J131"/>
    <mergeCell ref="K129:K131"/>
    <mergeCell ref="G123:G125"/>
    <mergeCell ref="H123:H125"/>
    <mergeCell ref="I123:I125"/>
    <mergeCell ref="J123:J125"/>
    <mergeCell ref="K123:K125"/>
    <mergeCell ref="C364:O364"/>
    <mergeCell ref="I77:I79"/>
    <mergeCell ref="J77:J79"/>
    <mergeCell ref="K77:K79"/>
    <mergeCell ref="F83:F85"/>
    <mergeCell ref="G83:G85"/>
    <mergeCell ref="H83:H85"/>
    <mergeCell ref="I83:I85"/>
    <mergeCell ref="J83:J85"/>
    <mergeCell ref="K83:K85"/>
    <mergeCell ref="F77:F79"/>
    <mergeCell ref="G77:G79"/>
    <mergeCell ref="H77:H79"/>
    <mergeCell ref="C92:C99"/>
    <mergeCell ref="D92:D99"/>
    <mergeCell ref="E92:E99"/>
    <mergeCell ref="F100:F102"/>
    <mergeCell ref="C103:C105"/>
    <mergeCell ref="D103:D105"/>
    <mergeCell ref="E103:E105"/>
    <mergeCell ref="E80:E82"/>
    <mergeCell ref="D80:D82"/>
    <mergeCell ref="C80:C82"/>
    <mergeCell ref="C86:C88"/>
    <mergeCell ref="B277:B282"/>
    <mergeCell ref="C277:C282"/>
    <mergeCell ref="D277:D282"/>
    <mergeCell ref="E277:E282"/>
    <mergeCell ref="B69:B91"/>
    <mergeCell ref="B92:B114"/>
    <mergeCell ref="C69:C76"/>
    <mergeCell ref="D69:D76"/>
    <mergeCell ref="E69:E76"/>
    <mergeCell ref="D86:D88"/>
    <mergeCell ref="E86:E88"/>
    <mergeCell ref="C109:C111"/>
    <mergeCell ref="D109:D111"/>
    <mergeCell ref="E109:E111"/>
    <mergeCell ref="B115:B137"/>
    <mergeCell ref="C115:C122"/>
    <mergeCell ref="D115:D122"/>
    <mergeCell ref="E115:E122"/>
    <mergeCell ref="C126:C128"/>
    <mergeCell ref="D126:D128"/>
    <mergeCell ref="E126:E128"/>
    <mergeCell ref="C132:C134"/>
    <mergeCell ref="D132:D134"/>
    <mergeCell ref="E132:E134"/>
    <mergeCell ref="B32:B59"/>
    <mergeCell ref="E46:E59"/>
    <mergeCell ref="E32:E45"/>
    <mergeCell ref="L26:L31"/>
    <mergeCell ref="L14:L25"/>
    <mergeCell ref="L2:L13"/>
    <mergeCell ref="B271:B276"/>
    <mergeCell ref="C271:C276"/>
    <mergeCell ref="D271:D276"/>
    <mergeCell ref="E271:E276"/>
    <mergeCell ref="F106:F108"/>
    <mergeCell ref="G100:G102"/>
    <mergeCell ref="H100:H102"/>
    <mergeCell ref="I100:I102"/>
    <mergeCell ref="J100:J102"/>
    <mergeCell ref="K100:K102"/>
    <mergeCell ref="G106:G108"/>
    <mergeCell ref="H106:H108"/>
    <mergeCell ref="I106:I108"/>
    <mergeCell ref="J106:J108"/>
    <mergeCell ref="K106:K108"/>
    <mergeCell ref="F123:F125"/>
    <mergeCell ref="F129:F131"/>
    <mergeCell ref="G129:G131"/>
    <mergeCell ref="F32:F45"/>
    <mergeCell ref="G32:G45"/>
    <mergeCell ref="H32:H45"/>
    <mergeCell ref="I32:I45"/>
    <mergeCell ref="J32:J45"/>
    <mergeCell ref="K32:K45"/>
    <mergeCell ref="L32:L45"/>
    <mergeCell ref="F46:F59"/>
    <mergeCell ref="G46:G59"/>
    <mergeCell ref="H46:H59"/>
    <mergeCell ref="I46:I59"/>
    <mergeCell ref="J46:J59"/>
    <mergeCell ref="K46:K59"/>
    <mergeCell ref="L46:L59"/>
    <mergeCell ref="B61:B68"/>
    <mergeCell ref="E61:E64"/>
    <mergeCell ref="F61:F64"/>
    <mergeCell ref="G61:G64"/>
    <mergeCell ref="H61:H64"/>
    <mergeCell ref="I61:I64"/>
    <mergeCell ref="J61:J64"/>
    <mergeCell ref="K61:K64"/>
    <mergeCell ref="L61:L64"/>
    <mergeCell ref="E65:E68"/>
    <mergeCell ref="F65:F68"/>
    <mergeCell ref="G65:G68"/>
    <mergeCell ref="H65:H68"/>
    <mergeCell ref="I65:I68"/>
    <mergeCell ref="J65:J68"/>
    <mergeCell ref="K65:K68"/>
    <mergeCell ref="L65:L68"/>
  </mergeCells>
  <phoneticPr fontId="8" type="noConversion"/>
  <dataValidations count="1">
    <dataValidation type="list" allowBlank="1" showInputMessage="1" showErrorMessage="1" sqref="K13 K25 K31:K32 K46 K60:K61 K65" xr:uid="{6C6D8ED6-D9C6-0F45-B86A-889CEAC20D0E}">
      <formula1>"→,↔"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"/>
  <sheetViews>
    <sheetView showGridLines="0" zoomScale="85" zoomScaleNormal="85" workbookViewId="0">
      <selection activeCell="F26" sqref="F26"/>
    </sheetView>
  </sheetViews>
  <sheetFormatPr baseColWidth="10" defaultColWidth="8.6640625" defaultRowHeight="17"/>
  <cols>
    <col min="1" max="1" width="4.1640625" style="22" customWidth="1"/>
    <col min="2" max="2" width="19.1640625" style="22" bestFit="1" customWidth="1"/>
    <col min="3" max="3" width="8.6640625" style="22"/>
    <col min="4" max="4" width="13.6640625" style="22" bestFit="1" customWidth="1"/>
    <col min="5" max="5" width="11.1640625" style="23" bestFit="1" customWidth="1"/>
    <col min="6" max="6" width="13" style="22" bestFit="1" customWidth="1"/>
    <col min="7" max="7" width="8.6640625" style="22"/>
    <col min="8" max="8" width="11" style="22" bestFit="1" customWidth="1"/>
    <col min="9" max="9" width="8.6640625" style="22"/>
    <col min="10" max="10" width="34.83203125" style="22" bestFit="1" customWidth="1"/>
    <col min="11" max="11" width="25.33203125" style="22" bestFit="1" customWidth="1"/>
    <col min="12" max="12" width="15.6640625" style="22" customWidth="1"/>
    <col min="13" max="13" width="18.6640625" style="22" bestFit="1" customWidth="1"/>
    <col min="14" max="14" width="15.6640625" style="22" customWidth="1"/>
    <col min="15" max="15" width="18.6640625" style="22" bestFit="1" customWidth="1"/>
    <col min="16" max="18" width="14.1640625" style="22" customWidth="1"/>
    <col min="19" max="16384" width="8.6640625" style="22"/>
  </cols>
  <sheetData>
    <row r="1" spans="1:18" ht="18">
      <c r="B1" s="21" t="s">
        <v>47</v>
      </c>
    </row>
    <row r="2" spans="1:18" ht="18">
      <c r="B2" s="24" t="s">
        <v>48</v>
      </c>
      <c r="C2" s="24"/>
      <c r="D2" s="24"/>
      <c r="E2" s="25"/>
      <c r="F2" s="24" t="s">
        <v>49</v>
      </c>
      <c r="G2" s="24"/>
      <c r="H2" s="24"/>
      <c r="I2" s="24"/>
      <c r="J2" s="24"/>
      <c r="K2" s="24"/>
      <c r="L2" s="26" t="s">
        <v>50</v>
      </c>
      <c r="M2" s="24"/>
      <c r="N2" s="24"/>
      <c r="O2" s="24"/>
      <c r="P2" s="24" t="s">
        <v>51</v>
      </c>
      <c r="Q2" s="24"/>
      <c r="R2" s="27" t="s">
        <v>52</v>
      </c>
    </row>
    <row r="3" spans="1:18" ht="35" customHeight="1">
      <c r="A3" s="28" t="s">
        <v>53</v>
      </c>
      <c r="B3" s="29" t="s">
        <v>54</v>
      </c>
      <c r="C3" s="29" t="s">
        <v>55</v>
      </c>
      <c r="D3" s="29" t="s">
        <v>56</v>
      </c>
      <c r="E3" s="30" t="s">
        <v>57</v>
      </c>
      <c r="F3" s="29" t="s">
        <v>58</v>
      </c>
      <c r="G3" s="29" t="s">
        <v>59</v>
      </c>
      <c r="H3" s="29" t="s">
        <v>60</v>
      </c>
      <c r="I3" s="29" t="s">
        <v>61</v>
      </c>
      <c r="J3" s="29" t="s">
        <v>62</v>
      </c>
      <c r="K3" s="29" t="s">
        <v>63</v>
      </c>
      <c r="L3" s="29" t="s">
        <v>64</v>
      </c>
      <c r="M3" s="29" t="s">
        <v>65</v>
      </c>
      <c r="N3" s="29" t="s">
        <v>66</v>
      </c>
      <c r="O3" s="29" t="s">
        <v>67</v>
      </c>
      <c r="P3" s="29" t="s">
        <v>68</v>
      </c>
      <c r="Q3" s="29" t="s">
        <v>69</v>
      </c>
      <c r="R3" s="31" t="s">
        <v>70</v>
      </c>
    </row>
  </sheetData>
  <autoFilter ref="A3:R3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28"/>
  <sheetViews>
    <sheetView workbookViewId="0">
      <selection activeCell="L19" sqref="L19"/>
    </sheetView>
  </sheetViews>
  <sheetFormatPr baseColWidth="10" defaultColWidth="8.83203125" defaultRowHeight="17"/>
  <cols>
    <col min="1" max="1" width="15.83203125" bestFit="1" customWidth="1"/>
    <col min="2" max="2" width="19.1640625" bestFit="1" customWidth="1"/>
    <col min="3" max="3" width="47" customWidth="1"/>
    <col min="4" max="4" width="11.83203125" customWidth="1"/>
  </cols>
  <sheetData>
    <row r="1" spans="1:4" ht="23">
      <c r="A1" s="433" t="s">
        <v>40</v>
      </c>
      <c r="B1" s="433"/>
      <c r="C1" s="433"/>
      <c r="D1" s="433"/>
    </row>
    <row r="3" spans="1:4">
      <c r="A3" s="16" t="s">
        <v>19</v>
      </c>
      <c r="B3" s="16" t="s">
        <v>28</v>
      </c>
      <c r="C3" s="16" t="s">
        <v>29</v>
      </c>
      <c r="D3" s="16" t="s">
        <v>30</v>
      </c>
    </row>
    <row r="4" spans="1:4">
      <c r="A4" s="432" t="s">
        <v>20</v>
      </c>
      <c r="B4" s="9" t="s">
        <v>17</v>
      </c>
      <c r="C4" s="11" t="s">
        <v>21</v>
      </c>
      <c r="D4" s="9"/>
    </row>
    <row r="5" spans="1:4">
      <c r="A5" s="432"/>
      <c r="B5" s="10" t="s">
        <v>22</v>
      </c>
      <c r="C5" s="11" t="s">
        <v>24</v>
      </c>
      <c r="D5" s="9"/>
    </row>
    <row r="6" spans="1:4">
      <c r="A6" s="432"/>
      <c r="B6" s="10" t="s">
        <v>23</v>
      </c>
      <c r="C6" s="12" t="s">
        <v>25</v>
      </c>
      <c r="D6" s="9"/>
    </row>
    <row r="7" spans="1:4">
      <c r="A7" s="432"/>
      <c r="B7" s="428" t="s">
        <v>26</v>
      </c>
      <c r="C7" s="425" t="s">
        <v>27</v>
      </c>
      <c r="D7" s="426"/>
    </row>
    <row r="8" spans="1:4">
      <c r="A8" s="432"/>
      <c r="B8" s="428"/>
      <c r="C8" s="425"/>
      <c r="D8" s="426"/>
    </row>
    <row r="9" spans="1:4">
      <c r="A9" s="432"/>
      <c r="B9" s="428"/>
      <c r="C9" s="425"/>
      <c r="D9" s="426"/>
    </row>
    <row r="10" spans="1:4">
      <c r="A10" s="432"/>
      <c r="B10" s="428"/>
      <c r="C10" s="425"/>
      <c r="D10" s="426"/>
    </row>
    <row r="11" spans="1:4">
      <c r="A11" s="432"/>
      <c r="B11" s="428"/>
      <c r="C11" s="425"/>
      <c r="D11" s="426"/>
    </row>
    <row r="12" spans="1:4">
      <c r="A12" s="427" t="s">
        <v>10</v>
      </c>
      <c r="B12" s="9" t="s">
        <v>18</v>
      </c>
      <c r="C12" s="11" t="s">
        <v>32</v>
      </c>
      <c r="D12" s="9"/>
    </row>
    <row r="13" spans="1:4">
      <c r="A13" s="427"/>
      <c r="B13" s="13" t="s">
        <v>31</v>
      </c>
      <c r="C13" s="11" t="s">
        <v>33</v>
      </c>
      <c r="D13" s="9"/>
    </row>
    <row r="14" spans="1:4">
      <c r="A14" s="427"/>
      <c r="B14" s="428" t="s">
        <v>26</v>
      </c>
      <c r="C14" s="425" t="s">
        <v>34</v>
      </c>
      <c r="D14" s="426"/>
    </row>
    <row r="15" spans="1:4">
      <c r="A15" s="427"/>
      <c r="B15" s="428"/>
      <c r="C15" s="425"/>
      <c r="D15" s="426"/>
    </row>
    <row r="16" spans="1:4">
      <c r="A16" s="427"/>
      <c r="B16" s="428"/>
      <c r="C16" s="425"/>
      <c r="D16" s="426"/>
    </row>
    <row r="17" spans="1:4">
      <c r="A17" s="427"/>
      <c r="B17" s="428"/>
      <c r="C17" s="425"/>
      <c r="D17" s="426"/>
    </row>
    <row r="18" spans="1:4">
      <c r="A18" s="427"/>
      <c r="B18" s="428"/>
      <c r="C18" s="425"/>
      <c r="D18" s="426"/>
    </row>
    <row r="19" spans="1:4">
      <c r="A19" s="427" t="s">
        <v>35</v>
      </c>
      <c r="B19" s="9" t="s">
        <v>17</v>
      </c>
      <c r="C19" s="14" t="s">
        <v>36</v>
      </c>
      <c r="D19" s="8"/>
    </row>
    <row r="20" spans="1:4">
      <c r="A20" s="427"/>
      <c r="B20" s="10" t="s">
        <v>22</v>
      </c>
      <c r="C20" s="15" t="s">
        <v>37</v>
      </c>
      <c r="D20" s="8"/>
    </row>
    <row r="21" spans="1:4">
      <c r="A21" s="427"/>
      <c r="B21" s="10" t="s">
        <v>23</v>
      </c>
      <c r="C21" s="15" t="s">
        <v>38</v>
      </c>
      <c r="D21" s="8"/>
    </row>
    <row r="22" spans="1:4">
      <c r="A22" s="427"/>
      <c r="B22" s="428" t="s">
        <v>26</v>
      </c>
      <c r="C22" s="425" t="s">
        <v>39</v>
      </c>
      <c r="D22" s="429"/>
    </row>
    <row r="23" spans="1:4">
      <c r="A23" s="427"/>
      <c r="B23" s="428"/>
      <c r="C23" s="425"/>
      <c r="D23" s="430"/>
    </row>
    <row r="24" spans="1:4">
      <c r="A24" s="427"/>
      <c r="B24" s="428"/>
      <c r="C24" s="425"/>
      <c r="D24" s="430"/>
    </row>
    <row r="25" spans="1:4">
      <c r="A25" s="427"/>
      <c r="B25" s="428"/>
      <c r="C25" s="425"/>
      <c r="D25" s="430"/>
    </row>
    <row r="26" spans="1:4">
      <c r="A26" s="427"/>
      <c r="B26" s="428"/>
      <c r="C26" s="425"/>
      <c r="D26" s="431"/>
    </row>
    <row r="28" spans="1:4">
      <c r="A28" s="72" t="s">
        <v>145</v>
      </c>
    </row>
  </sheetData>
  <mergeCells count="13">
    <mergeCell ref="B7:B11"/>
    <mergeCell ref="C7:C11"/>
    <mergeCell ref="D7:D11"/>
    <mergeCell ref="A4:A11"/>
    <mergeCell ref="A1:D1"/>
    <mergeCell ref="C14:C18"/>
    <mergeCell ref="D14:D18"/>
    <mergeCell ref="A12:A18"/>
    <mergeCell ref="B14:B18"/>
    <mergeCell ref="B22:B26"/>
    <mergeCell ref="C22:C26"/>
    <mergeCell ref="A19:A26"/>
    <mergeCell ref="D22:D26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B342-49ED-432A-B754-78F2FEDEAAF0}">
  <sheetPr codeName="Sheet8"/>
  <dimension ref="A1:F18"/>
  <sheetViews>
    <sheetView zoomScale="85" zoomScaleNormal="85" workbookViewId="0">
      <selection activeCell="B4" sqref="B4:C4"/>
    </sheetView>
  </sheetViews>
  <sheetFormatPr baseColWidth="10" defaultColWidth="9" defaultRowHeight="17"/>
  <cols>
    <col min="1" max="1" width="21.1640625" customWidth="1"/>
    <col min="2" max="2" width="25.5" customWidth="1"/>
    <col min="3" max="3" width="20.1640625" customWidth="1"/>
    <col min="4" max="4" width="30.1640625" customWidth="1"/>
    <col min="5" max="5" width="9.6640625" customWidth="1"/>
    <col min="6" max="6" width="30.83203125" customWidth="1"/>
    <col min="9" max="9" width="7.6640625" bestFit="1" customWidth="1"/>
  </cols>
  <sheetData>
    <row r="1" spans="1:6" ht="20">
      <c r="A1" s="436" t="s">
        <v>41</v>
      </c>
      <c r="B1" s="436"/>
      <c r="C1" s="436"/>
      <c r="D1" s="436"/>
      <c r="E1" s="106"/>
      <c r="F1" s="106"/>
    </row>
    <row r="2" spans="1:6">
      <c r="A2" s="72"/>
    </row>
    <row r="3" spans="1:6" ht="22.5" customHeight="1">
      <c r="A3" s="103" t="s">
        <v>28</v>
      </c>
      <c r="B3" s="437" t="s">
        <v>120</v>
      </c>
      <c r="C3" s="437"/>
      <c r="D3" s="103" t="s">
        <v>121</v>
      </c>
    </row>
    <row r="4" spans="1:6">
      <c r="A4" s="8" t="s">
        <v>122</v>
      </c>
      <c r="B4" s="438" t="s">
        <v>123</v>
      </c>
      <c r="C4" s="438"/>
      <c r="D4" s="8"/>
    </row>
    <row r="5" spans="1:6">
      <c r="A5" s="8" t="s">
        <v>124</v>
      </c>
      <c r="B5" s="438" t="s">
        <v>125</v>
      </c>
      <c r="C5" s="434"/>
      <c r="D5" s="8"/>
    </row>
    <row r="6" spans="1:6">
      <c r="A6" s="8" t="s">
        <v>126</v>
      </c>
      <c r="B6" s="434" t="s">
        <v>127</v>
      </c>
      <c r="C6" s="434"/>
      <c r="D6" s="8"/>
    </row>
    <row r="7" spans="1:6">
      <c r="A7" s="8" t="s">
        <v>128</v>
      </c>
      <c r="B7" s="434" t="s">
        <v>129</v>
      </c>
      <c r="C7" s="434"/>
      <c r="D7" s="8"/>
    </row>
    <row r="8" spans="1:6">
      <c r="A8" s="435" t="s">
        <v>130</v>
      </c>
      <c r="B8" s="104" t="s">
        <v>131</v>
      </c>
      <c r="C8" s="104" t="s">
        <v>132</v>
      </c>
      <c r="D8" s="8"/>
    </row>
    <row r="9" spans="1:6">
      <c r="A9" s="435"/>
      <c r="B9" s="105" t="s">
        <v>133</v>
      </c>
      <c r="C9" s="105" t="s">
        <v>134</v>
      </c>
      <c r="D9" s="8"/>
    </row>
    <row r="10" spans="1:6">
      <c r="A10" s="435"/>
      <c r="B10" s="8"/>
      <c r="C10" s="8"/>
      <c r="D10" s="8"/>
    </row>
    <row r="11" spans="1:6">
      <c r="A11" s="435"/>
      <c r="B11" s="8"/>
      <c r="C11" s="8"/>
      <c r="D11" s="8"/>
    </row>
    <row r="12" spans="1:6">
      <c r="A12" s="435"/>
      <c r="B12" s="8"/>
      <c r="C12" s="8"/>
      <c r="D12" s="8"/>
    </row>
    <row r="13" spans="1:6">
      <c r="A13" s="435"/>
      <c r="B13" s="8"/>
      <c r="C13" s="8"/>
      <c r="D13" s="8"/>
    </row>
    <row r="14" spans="1:6">
      <c r="A14" s="435"/>
      <c r="B14" s="8"/>
      <c r="C14" s="8"/>
      <c r="D14" s="8"/>
    </row>
    <row r="15" spans="1:6">
      <c r="A15" s="435"/>
      <c r="B15" s="8"/>
      <c r="C15" s="8"/>
      <c r="D15" s="8"/>
    </row>
    <row r="16" spans="1:6">
      <c r="A16" s="435"/>
      <c r="B16" s="8"/>
      <c r="C16" s="8"/>
      <c r="D16" s="8"/>
    </row>
    <row r="17" spans="1:4">
      <c r="A17" s="435"/>
      <c r="B17" s="8"/>
      <c r="C17" s="8"/>
      <c r="D17" s="8"/>
    </row>
    <row r="18" spans="1:4" ht="18">
      <c r="A18" s="115" t="s">
        <v>146</v>
      </c>
    </row>
  </sheetData>
  <mergeCells count="7">
    <mergeCell ref="B7:C7"/>
    <mergeCell ref="A8:A17"/>
    <mergeCell ref="A1:D1"/>
    <mergeCell ref="B3:C3"/>
    <mergeCell ref="B4:C4"/>
    <mergeCell ref="B5:C5"/>
    <mergeCell ref="B6:C6"/>
  </mergeCells>
  <phoneticPr fontId="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01.자원생성요청서</vt:lpstr>
      <vt:lpstr>02.시스템구성도</vt:lpstr>
      <vt:lpstr>03.Server</vt:lpstr>
      <vt:lpstr>04.ACG</vt:lpstr>
      <vt:lpstr>05.계정</vt:lpstr>
      <vt:lpstr>06.예외 요청서</vt:lpstr>
      <vt:lpstr>07.업무 시스템 권한 추가 삭제 요청서</vt:lpstr>
      <vt:lpstr>'01.자원생성요청서'!Print_Area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Babyhead</dc:creator>
  <cp:lastModifiedBy>7295</cp:lastModifiedBy>
  <cp:lastPrinted>2023-03-08T08:06:43Z</cp:lastPrinted>
  <dcterms:created xsi:type="dcterms:W3CDTF">2015-06-05T18:19:34Z</dcterms:created>
  <dcterms:modified xsi:type="dcterms:W3CDTF">2025-04-08T01:52:15Z</dcterms:modified>
</cp:coreProperties>
</file>